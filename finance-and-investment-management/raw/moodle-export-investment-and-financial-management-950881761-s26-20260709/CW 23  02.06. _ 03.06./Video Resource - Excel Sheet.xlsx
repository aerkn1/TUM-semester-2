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Z:\H09_WIMA\2_Lehrveranstaltungen\3_Sommer Semester\2024\IuF\Bachelor\Session 07 08\"/>
    </mc:Choice>
  </mc:AlternateContent>
  <xr:revisionPtr revIDLastSave="0" documentId="13_ncr:1_{5E26A772-D1BA-4721-A6FB-478BC89BC18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onthly Returns Daimler" sheetId="21" r:id="rId1"/>
    <sheet name="Monthly Index Returns" sheetId="16" r:id="rId2"/>
    <sheet name="Risk-free_rate_monthly" sheetId="18" r:id="rId3"/>
    <sheet name="Scatter Plot" sheetId="15" r:id="rId4"/>
    <sheet name="Cost of Equity" sheetId="24" r:id="rId5"/>
  </sheets>
  <definedNames>
    <definedName name="_xlnm._FilterDatabase" localSheetId="2" hidden="1">'Risk-free_rate_monthly'!$A$1:$A$133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24" l="1"/>
  <c r="B2" i="24"/>
  <c r="D2" i="24" s="1"/>
  <c r="A2" i="24"/>
  <c r="E133" i="15" l="1"/>
  <c r="E132" i="15"/>
  <c r="E131" i="15"/>
  <c r="E130" i="15"/>
  <c r="E129" i="15"/>
  <c r="E128" i="15"/>
  <c r="E127" i="15"/>
  <c r="E126" i="15"/>
  <c r="E125" i="15"/>
  <c r="E124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111" i="15"/>
  <c r="E110" i="15"/>
  <c r="E109" i="15"/>
  <c r="E108" i="15"/>
  <c r="E107" i="15"/>
  <c r="E106" i="15"/>
  <c r="E105" i="15"/>
  <c r="E104" i="15"/>
  <c r="E103" i="15"/>
  <c r="E102" i="15"/>
  <c r="E101" i="15"/>
  <c r="E100" i="15"/>
  <c r="E99" i="15"/>
  <c r="E98" i="15"/>
  <c r="E97" i="15"/>
  <c r="E96" i="15"/>
  <c r="E95" i="15"/>
  <c r="E94" i="15"/>
  <c r="E93" i="15"/>
  <c r="E92" i="15"/>
  <c r="E91" i="15"/>
  <c r="E90" i="15"/>
  <c r="E89" i="15"/>
  <c r="E88" i="15"/>
  <c r="E87" i="15"/>
  <c r="E86" i="15"/>
  <c r="E85" i="15"/>
  <c r="E84" i="15"/>
  <c r="E83" i="15"/>
  <c r="E82" i="15"/>
  <c r="E81" i="15"/>
  <c r="E80" i="15"/>
  <c r="E79" i="15"/>
  <c r="E78" i="15"/>
  <c r="E77" i="15"/>
  <c r="E76" i="15"/>
  <c r="E75" i="15"/>
  <c r="E74" i="15"/>
  <c r="E73" i="15"/>
  <c r="E72" i="15"/>
  <c r="E71" i="15"/>
  <c r="E70" i="15"/>
  <c r="E69" i="15"/>
  <c r="E68" i="15"/>
  <c r="E67" i="15"/>
  <c r="E66" i="15"/>
  <c r="E65" i="15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2" i="15"/>
</calcChain>
</file>

<file path=xl/sharedStrings.xml><?xml version="1.0" encoding="utf-8"?>
<sst xmlns="http://schemas.openxmlformats.org/spreadsheetml/2006/main" count="20" uniqueCount="14">
  <si>
    <t>Date</t>
  </si>
  <si>
    <t>Excess Return MSCI</t>
  </si>
  <si>
    <t>Excess Return DAX</t>
  </si>
  <si>
    <t>Return DAX</t>
  </si>
  <si>
    <t>Return Daimler</t>
  </si>
  <si>
    <t xml:space="preserve"> Return MSCI</t>
  </si>
  <si>
    <t>Risk-free Rate Monthly</t>
  </si>
  <si>
    <t>Risk Free Rate</t>
  </si>
  <si>
    <t>Excess Return Daimler</t>
  </si>
  <si>
    <t>CAPM Slope</t>
  </si>
  <si>
    <t>Current risk free rate</t>
  </si>
  <si>
    <t>CAPM Beta</t>
  </si>
  <si>
    <t>Historical Market Risk Premium</t>
  </si>
  <si>
    <t>Daimler's Cost of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</si>
</sst>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111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EAEAEA"/>
      </left>
      <right style="medium">
        <color rgb="FFD7D7D7"/>
      </right>
      <top style="medium">
        <color rgb="FFD7D7D7"/>
      </top>
      <bottom/>
      <diagonal/>
    </border>
    <border>
      <left/>
      <right/>
      <top style="medium">
        <color rgb="FFE0E4E9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10" fontId="0" fillId="0" borderId="0" xfId="0" applyNumberFormat="1"/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10" fontId="0" fillId="0" borderId="3" xfId="1" applyNumberFormat="1" applyFont="1" applyBorder="1" applyAlignment="1">
      <alignment horizontal="center"/>
    </xf>
    <xf numFmtId="0" fontId="2" fillId="2" borderId="2" xfId="0" applyFont="1" applyFill="1" applyBorder="1"/>
    <xf numFmtId="14" fontId="0" fillId="0" borderId="1" xfId="0" applyNumberFormat="1" applyBorder="1"/>
    <xf numFmtId="0" fontId="0" fillId="0" borderId="3" xfId="0" applyBorder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7" fontId="0" fillId="0" borderId="0" xfId="0" applyNumberFormat="1" applyAlignment="1">
      <alignment horizontal="center"/>
    </xf>
    <xf numFmtId="0" fontId="5" fillId="3" borderId="6" xfId="0" applyFont="1" applyFill="1" applyBorder="1" applyAlignment="1">
      <alignment horizontal="right" vertical="center" indent="1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0" fontId="3" fillId="2" borderId="5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10" fontId="0" fillId="0" borderId="3" xfId="0" applyNumberFormat="1" applyBorder="1"/>
    <xf numFmtId="0" fontId="2" fillId="2" borderId="7" xfId="0" applyFont="1" applyFill="1" applyBorder="1" applyAlignment="1">
      <alignment horizontal="center"/>
    </xf>
    <xf numFmtId="0" fontId="0" fillId="4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8161B-5D0F-44C6-A552-69E6C50E08BA}">
  <dimension ref="A1:B134"/>
  <sheetViews>
    <sheetView tabSelected="1" workbookViewId="0"/>
  </sheetViews>
  <sheetFormatPr defaultColWidth="11.42578125" defaultRowHeight="15" x14ac:dyDescent="0.25"/>
  <cols>
    <col min="2" max="2" width="17.85546875" style="4" customWidth="1"/>
  </cols>
  <sheetData>
    <row r="1" spans="1:2" x14ac:dyDescent="0.25">
      <c r="A1" s="12" t="s">
        <v>0</v>
      </c>
      <c r="B1" s="11" t="s">
        <v>4</v>
      </c>
    </row>
    <row r="2" spans="1:2" x14ac:dyDescent="0.25">
      <c r="A2" s="9">
        <v>39113</v>
      </c>
      <c r="B2" s="3">
        <v>8.0000000000000004E-4</v>
      </c>
    </row>
    <row r="3" spans="1:2" x14ac:dyDescent="0.25">
      <c r="A3" s="9">
        <v>39141</v>
      </c>
      <c r="B3" s="3">
        <v>8.4099999999999994E-2</v>
      </c>
    </row>
    <row r="4" spans="1:2" x14ac:dyDescent="0.25">
      <c r="A4" s="9">
        <v>39171</v>
      </c>
      <c r="B4" s="3">
        <v>0.2203</v>
      </c>
    </row>
    <row r="5" spans="1:2" x14ac:dyDescent="0.25">
      <c r="A5" s="9">
        <v>39202</v>
      </c>
      <c r="B5" s="3">
        <v>-2.9600000000000001E-2</v>
      </c>
    </row>
    <row r="6" spans="1:2" x14ac:dyDescent="0.25">
      <c r="A6" s="9">
        <v>39233</v>
      </c>
      <c r="B6" s="3">
        <v>0.128</v>
      </c>
    </row>
    <row r="7" spans="1:2" x14ac:dyDescent="0.25">
      <c r="A7" s="9">
        <v>39262</v>
      </c>
      <c r="B7" s="3">
        <v>3.5999999999999999E-3</v>
      </c>
    </row>
    <row r="8" spans="1:2" x14ac:dyDescent="0.25">
      <c r="A8" s="9">
        <v>39294</v>
      </c>
      <c r="B8" s="3">
        <v>-2.1399999999999999E-2</v>
      </c>
    </row>
    <row r="9" spans="1:2" x14ac:dyDescent="0.25">
      <c r="A9" s="9">
        <v>39325</v>
      </c>
      <c r="B9" s="3">
        <v>-1.77E-2</v>
      </c>
    </row>
    <row r="10" spans="1:2" x14ac:dyDescent="0.25">
      <c r="A10" s="9">
        <v>39353</v>
      </c>
      <c r="B10" s="3">
        <v>9.7600000000000006E-2</v>
      </c>
    </row>
    <row r="11" spans="1:2" x14ac:dyDescent="0.25">
      <c r="A11" s="9">
        <v>39386</v>
      </c>
      <c r="B11" s="3">
        <v>8.7400000000000005E-2</v>
      </c>
    </row>
    <row r="12" spans="1:2" x14ac:dyDescent="0.25">
      <c r="A12" s="9">
        <v>39416</v>
      </c>
      <c r="B12" s="3">
        <v>-6.3899999999999998E-2</v>
      </c>
    </row>
    <row r="13" spans="1:2" x14ac:dyDescent="0.25">
      <c r="A13" s="9">
        <v>39447</v>
      </c>
      <c r="B13" s="3">
        <v>-6.0299999999999999E-2</v>
      </c>
    </row>
    <row r="14" spans="1:2" x14ac:dyDescent="0.25">
      <c r="A14" s="9">
        <v>39478</v>
      </c>
      <c r="B14" s="3">
        <v>-0.18890000000000001</v>
      </c>
    </row>
    <row r="15" spans="1:2" x14ac:dyDescent="0.25">
      <c r="A15" s="9">
        <v>39507</v>
      </c>
      <c r="B15" s="3">
        <v>4.3299999999999998E-2</v>
      </c>
    </row>
    <row r="16" spans="1:2" x14ac:dyDescent="0.25">
      <c r="A16" s="9">
        <v>39538</v>
      </c>
      <c r="B16" s="3">
        <v>1.2200000000000001E-2</v>
      </c>
    </row>
    <row r="17" spans="1:2" x14ac:dyDescent="0.25">
      <c r="A17" s="9">
        <v>39568</v>
      </c>
      <c r="B17" s="3">
        <v>-9.8000000000000004E-2</v>
      </c>
    </row>
    <row r="18" spans="1:2" x14ac:dyDescent="0.25">
      <c r="A18" s="9">
        <v>39598</v>
      </c>
      <c r="B18" s="3">
        <v>-2.2100000000000002E-2</v>
      </c>
    </row>
    <row r="19" spans="1:2" x14ac:dyDescent="0.25">
      <c r="A19" s="9">
        <v>39629</v>
      </c>
      <c r="B19" s="3">
        <v>-0.18179999999999999</v>
      </c>
    </row>
    <row r="20" spans="1:2" x14ac:dyDescent="0.25">
      <c r="A20" s="9">
        <v>39660</v>
      </c>
      <c r="B20" s="3">
        <v>-3.9E-2</v>
      </c>
    </row>
    <row r="21" spans="1:2" x14ac:dyDescent="0.25">
      <c r="A21" s="9">
        <v>39689</v>
      </c>
      <c r="B21" s="3">
        <v>1.46E-2</v>
      </c>
    </row>
    <row r="22" spans="1:2" x14ac:dyDescent="0.25">
      <c r="A22" s="9">
        <v>39721</v>
      </c>
      <c r="B22" s="3">
        <v>-0.19189999999999999</v>
      </c>
    </row>
    <row r="23" spans="1:2" x14ac:dyDescent="0.25">
      <c r="A23" s="9">
        <v>39752</v>
      </c>
      <c r="B23" s="3">
        <v>-0.25469999999999998</v>
      </c>
    </row>
    <row r="24" spans="1:2" x14ac:dyDescent="0.25">
      <c r="A24" s="9">
        <v>39780</v>
      </c>
      <c r="B24" s="3">
        <v>-6.3700000000000007E-2</v>
      </c>
    </row>
    <row r="25" spans="1:2" x14ac:dyDescent="0.25">
      <c r="A25" s="9">
        <v>39813</v>
      </c>
      <c r="B25" s="3">
        <v>0.28539999999999999</v>
      </c>
    </row>
    <row r="26" spans="1:2" x14ac:dyDescent="0.25">
      <c r="A26" s="9">
        <v>39843</v>
      </c>
      <c r="B26" s="3">
        <v>-0.26169999999999999</v>
      </c>
    </row>
    <row r="27" spans="1:2" x14ac:dyDescent="0.25">
      <c r="A27" s="9">
        <v>39871</v>
      </c>
      <c r="B27" s="3">
        <v>-0.1714</v>
      </c>
    </row>
    <row r="28" spans="1:2" x14ac:dyDescent="0.25">
      <c r="A28" s="9">
        <v>39903</v>
      </c>
      <c r="B28" s="3">
        <v>0.1163</v>
      </c>
    </row>
    <row r="29" spans="1:2" x14ac:dyDescent="0.25">
      <c r="A29" s="9">
        <v>39933</v>
      </c>
      <c r="B29" s="3">
        <v>0.42859999999999998</v>
      </c>
    </row>
    <row r="30" spans="1:2" x14ac:dyDescent="0.25">
      <c r="A30" s="9">
        <v>39962</v>
      </c>
      <c r="B30" s="3">
        <v>4.4699999999999997E-2</v>
      </c>
    </row>
    <row r="31" spans="1:2" x14ac:dyDescent="0.25">
      <c r="A31" s="9">
        <v>39994</v>
      </c>
      <c r="B31" s="3">
        <v>-7.85E-2</v>
      </c>
    </row>
    <row r="32" spans="1:2" x14ac:dyDescent="0.25">
      <c r="A32" s="9">
        <v>40025</v>
      </c>
      <c r="B32" s="3">
        <v>0.25640000000000002</v>
      </c>
    </row>
    <row r="33" spans="1:2" x14ac:dyDescent="0.25">
      <c r="A33" s="9">
        <v>40056</v>
      </c>
      <c r="B33" s="3">
        <v>-6.3700000000000007E-2</v>
      </c>
    </row>
    <row r="34" spans="1:2" x14ac:dyDescent="0.25">
      <c r="A34" s="9">
        <v>40086</v>
      </c>
      <c r="B34" s="3">
        <v>0.13539999999999999</v>
      </c>
    </row>
    <row r="35" spans="1:2" x14ac:dyDescent="0.25">
      <c r="A35" s="9">
        <v>40116</v>
      </c>
      <c r="B35" s="3">
        <v>-3.56E-2</v>
      </c>
    </row>
    <row r="36" spans="1:2" x14ac:dyDescent="0.25">
      <c r="A36" s="9">
        <v>40147</v>
      </c>
      <c r="B36" s="3">
        <v>5.5100000000000003E-2</v>
      </c>
    </row>
    <row r="37" spans="1:2" x14ac:dyDescent="0.25">
      <c r="A37" s="9">
        <v>40178</v>
      </c>
      <c r="B37" s="3">
        <v>1.4999999999999999E-2</v>
      </c>
    </row>
    <row r="38" spans="1:2" x14ac:dyDescent="0.25">
      <c r="A38" s="9">
        <v>40207</v>
      </c>
      <c r="B38" s="3">
        <v>-0.1457</v>
      </c>
    </row>
    <row r="39" spans="1:2" x14ac:dyDescent="0.25">
      <c r="A39" s="9">
        <v>40235</v>
      </c>
      <c r="B39" s="3">
        <v>-0.1003</v>
      </c>
    </row>
    <row r="40" spans="1:2" x14ac:dyDescent="0.25">
      <c r="A40" s="9">
        <v>40268</v>
      </c>
      <c r="B40" s="3">
        <v>0.1206</v>
      </c>
    </row>
    <row r="41" spans="1:2" x14ac:dyDescent="0.25">
      <c r="A41" s="9">
        <v>40298</v>
      </c>
      <c r="B41" s="3">
        <v>7.0599999999999996E-2</v>
      </c>
    </row>
    <row r="42" spans="1:2" x14ac:dyDescent="0.25">
      <c r="A42" s="9">
        <v>40329</v>
      </c>
      <c r="B42" s="3">
        <v>-3.3599999999999998E-2</v>
      </c>
    </row>
    <row r="43" spans="1:2" x14ac:dyDescent="0.25">
      <c r="A43" s="9">
        <v>40359</v>
      </c>
      <c r="B43" s="3">
        <v>3.1399999999999997E-2</v>
      </c>
    </row>
    <row r="44" spans="1:2" x14ac:dyDescent="0.25">
      <c r="A44" s="9">
        <v>40389</v>
      </c>
      <c r="B44" s="3">
        <v>5.0500000000000003E-2</v>
      </c>
    </row>
    <row r="45" spans="1:2" x14ac:dyDescent="0.25">
      <c r="A45" s="9">
        <v>40421</v>
      </c>
      <c r="B45" s="3">
        <v>-0.1041</v>
      </c>
    </row>
    <row r="46" spans="1:2" x14ac:dyDescent="0.25">
      <c r="A46" s="9">
        <v>40451</v>
      </c>
      <c r="B46" s="3">
        <v>0.25269999999999998</v>
      </c>
    </row>
    <row r="47" spans="1:2" x14ac:dyDescent="0.25">
      <c r="A47" s="9">
        <v>40480</v>
      </c>
      <c r="B47" s="3">
        <v>4.5100000000000001E-2</v>
      </c>
    </row>
    <row r="48" spans="1:2" x14ac:dyDescent="0.25">
      <c r="A48" s="9">
        <v>40512</v>
      </c>
      <c r="B48" s="3">
        <v>-2.8899999999999999E-2</v>
      </c>
    </row>
    <row r="49" spans="1:2" x14ac:dyDescent="0.25">
      <c r="A49" s="9">
        <v>40543</v>
      </c>
      <c r="B49" s="3">
        <v>3.7000000000000002E-3</v>
      </c>
    </row>
    <row r="50" spans="1:2" x14ac:dyDescent="0.25">
      <c r="A50" s="9">
        <v>40574</v>
      </c>
      <c r="B50" s="3">
        <v>6.4299999999999996E-2</v>
      </c>
    </row>
    <row r="51" spans="1:2" x14ac:dyDescent="0.25">
      <c r="A51" s="9">
        <v>40602</v>
      </c>
      <c r="B51" s="3">
        <v>-3.7600000000000001E-2</v>
      </c>
    </row>
    <row r="52" spans="1:2" x14ac:dyDescent="0.25">
      <c r="A52" s="9">
        <v>40633</v>
      </c>
      <c r="B52" s="3">
        <v>-1.4800000000000001E-2</v>
      </c>
    </row>
    <row r="53" spans="1:2" x14ac:dyDescent="0.25">
      <c r="A53" s="1">
        <v>40662</v>
      </c>
      <c r="B53" s="3">
        <v>6.7400000000000002E-2</v>
      </c>
    </row>
    <row r="54" spans="1:2" x14ac:dyDescent="0.25">
      <c r="A54" s="1">
        <v>40694</v>
      </c>
      <c r="B54" s="3">
        <v>-9.7000000000000003E-2</v>
      </c>
    </row>
    <row r="55" spans="1:2" x14ac:dyDescent="0.25">
      <c r="A55" s="1">
        <v>40724</v>
      </c>
      <c r="B55" s="3">
        <v>6.7699999999999996E-2</v>
      </c>
    </row>
    <row r="56" spans="1:2" x14ac:dyDescent="0.25">
      <c r="A56" s="1">
        <v>40753</v>
      </c>
      <c r="B56" s="3">
        <v>-3.1E-2</v>
      </c>
    </row>
    <row r="57" spans="1:2" x14ac:dyDescent="0.25">
      <c r="A57" s="1">
        <v>40786</v>
      </c>
      <c r="B57" s="3">
        <v>-0.25800000000000001</v>
      </c>
    </row>
    <row r="58" spans="1:2" x14ac:dyDescent="0.25">
      <c r="A58" s="1">
        <v>40816</v>
      </c>
      <c r="B58" s="3">
        <v>-0.15010000000000001</v>
      </c>
    </row>
    <row r="59" spans="1:2" x14ac:dyDescent="0.25">
      <c r="A59" s="1">
        <v>40847</v>
      </c>
      <c r="B59" s="3">
        <v>0.17879999999999999</v>
      </c>
    </row>
    <row r="60" spans="1:2" x14ac:dyDescent="0.25">
      <c r="A60" s="1">
        <v>40877</v>
      </c>
      <c r="B60" s="3">
        <v>-3.6400000000000002E-2</v>
      </c>
    </row>
    <row r="61" spans="1:2" x14ac:dyDescent="0.25">
      <c r="A61" s="1">
        <v>40907</v>
      </c>
      <c r="B61" s="3">
        <v>-3.3700000000000001E-2</v>
      </c>
    </row>
    <row r="62" spans="1:2" x14ac:dyDescent="0.25">
      <c r="A62" s="1">
        <v>40939</v>
      </c>
      <c r="B62" s="3">
        <v>0.1741</v>
      </c>
    </row>
    <row r="63" spans="1:2" x14ac:dyDescent="0.25">
      <c r="A63" s="1">
        <v>40968</v>
      </c>
      <c r="B63" s="3">
        <v>5.5100000000000003E-2</v>
      </c>
    </row>
    <row r="64" spans="1:2" x14ac:dyDescent="0.25">
      <c r="A64" s="1">
        <v>40998</v>
      </c>
      <c r="B64" s="3">
        <v>-5.3E-3</v>
      </c>
    </row>
    <row r="65" spans="1:2" x14ac:dyDescent="0.25">
      <c r="A65" s="1">
        <v>41029</v>
      </c>
      <c r="B65" s="3">
        <v>-7.6499999999999999E-2</v>
      </c>
    </row>
    <row r="66" spans="1:2" x14ac:dyDescent="0.25">
      <c r="A66" s="1">
        <v>41060</v>
      </c>
      <c r="B66" s="3">
        <v>-0.16839999999999999</v>
      </c>
    </row>
    <row r="67" spans="1:2" x14ac:dyDescent="0.25">
      <c r="A67" s="1">
        <v>41089</v>
      </c>
      <c r="B67" s="3">
        <v>1.17E-2</v>
      </c>
    </row>
    <row r="68" spans="1:2" x14ac:dyDescent="0.25">
      <c r="A68" s="1">
        <v>41121</v>
      </c>
      <c r="B68" s="3">
        <v>8.8300000000000003E-2</v>
      </c>
    </row>
    <row r="69" spans="1:2" x14ac:dyDescent="0.25">
      <c r="A69" s="1">
        <v>41152</v>
      </c>
      <c r="B69" s="3">
        <v>-1.1900000000000001E-2</v>
      </c>
    </row>
    <row r="70" spans="1:2" x14ac:dyDescent="0.25">
      <c r="A70" s="1">
        <v>41180</v>
      </c>
      <c r="B70" s="3">
        <v>1.8800000000000001E-2</v>
      </c>
    </row>
    <row r="71" spans="1:2" x14ac:dyDescent="0.25">
      <c r="A71" s="1">
        <v>41213</v>
      </c>
      <c r="B71" s="3">
        <v>-3.1399999999999997E-2</v>
      </c>
    </row>
    <row r="72" spans="1:2" x14ac:dyDescent="0.25">
      <c r="A72" s="1">
        <v>41243</v>
      </c>
      <c r="B72" s="3">
        <v>4.3700000000000003E-2</v>
      </c>
    </row>
    <row r="73" spans="1:2" x14ac:dyDescent="0.25">
      <c r="A73" s="1">
        <v>41274</v>
      </c>
      <c r="B73" s="3">
        <v>0.1009</v>
      </c>
    </row>
    <row r="74" spans="1:2" x14ac:dyDescent="0.25">
      <c r="A74" s="1">
        <v>41305</v>
      </c>
      <c r="B74" s="3">
        <v>3.1899999999999998E-2</v>
      </c>
    </row>
    <row r="75" spans="1:2" x14ac:dyDescent="0.25">
      <c r="A75" s="1">
        <v>41333</v>
      </c>
      <c r="B75" s="3">
        <v>1.7399999999999999E-2</v>
      </c>
    </row>
    <row r="76" spans="1:2" x14ac:dyDescent="0.25">
      <c r="A76" s="1">
        <v>41362</v>
      </c>
      <c r="B76" s="3">
        <v>-7.1999999999999995E-2</v>
      </c>
    </row>
    <row r="77" spans="1:2" x14ac:dyDescent="0.25">
      <c r="A77" s="1">
        <v>41394</v>
      </c>
      <c r="B77" s="3">
        <v>1.77E-2</v>
      </c>
    </row>
    <row r="78" spans="1:2" x14ac:dyDescent="0.25">
      <c r="A78" s="1">
        <v>41425</v>
      </c>
      <c r="B78" s="3">
        <v>0.15310000000000001</v>
      </c>
    </row>
    <row r="79" spans="1:2" x14ac:dyDescent="0.25">
      <c r="A79" s="1">
        <v>41453</v>
      </c>
      <c r="B79" s="3">
        <v>-5.5899999999999998E-2</v>
      </c>
    </row>
    <row r="80" spans="1:2" x14ac:dyDescent="0.25">
      <c r="A80" s="1">
        <v>41486</v>
      </c>
      <c r="B80" s="3">
        <v>0.12909999999999999</v>
      </c>
    </row>
    <row r="81" spans="1:2" x14ac:dyDescent="0.25">
      <c r="A81" s="1">
        <v>41516</v>
      </c>
      <c r="B81" s="3">
        <v>-2.9399999999999999E-2</v>
      </c>
    </row>
    <row r="82" spans="1:2" x14ac:dyDescent="0.25">
      <c r="A82" s="1">
        <v>41547</v>
      </c>
      <c r="B82" s="3">
        <v>0.1163</v>
      </c>
    </row>
    <row r="83" spans="1:2" x14ac:dyDescent="0.25">
      <c r="A83" s="1">
        <v>41578</v>
      </c>
      <c r="B83" s="3">
        <v>0.05</v>
      </c>
    </row>
    <row r="84" spans="1:2" x14ac:dyDescent="0.25">
      <c r="A84" s="1">
        <v>41607</v>
      </c>
      <c r="B84" s="3">
        <v>1.7299999999999999E-2</v>
      </c>
    </row>
    <row r="85" spans="1:2" x14ac:dyDescent="0.25">
      <c r="A85" s="1">
        <v>41639</v>
      </c>
      <c r="B85" s="3">
        <v>4.9000000000000002E-2</v>
      </c>
    </row>
    <row r="86" spans="1:2" x14ac:dyDescent="0.25">
      <c r="A86" s="1">
        <v>41670</v>
      </c>
      <c r="B86" s="3">
        <v>-1.9599999999999999E-2</v>
      </c>
    </row>
    <row r="87" spans="1:2" x14ac:dyDescent="0.25">
      <c r="A87" s="1">
        <v>41698</v>
      </c>
      <c r="B87" s="3">
        <v>0.1169</v>
      </c>
    </row>
    <row r="88" spans="1:2" x14ac:dyDescent="0.25">
      <c r="A88" s="1">
        <v>41729</v>
      </c>
      <c r="B88" s="3">
        <v>4.99E-2</v>
      </c>
    </row>
    <row r="89" spans="1:2" x14ac:dyDescent="0.25">
      <c r="A89" s="1">
        <v>41759</v>
      </c>
      <c r="B89" s="3">
        <v>-3.7600000000000001E-2</v>
      </c>
    </row>
    <row r="90" spans="1:2" x14ac:dyDescent="0.25">
      <c r="A90" s="1">
        <v>41789</v>
      </c>
      <c r="B90" s="3">
        <v>2.93E-2</v>
      </c>
    </row>
    <row r="91" spans="1:2" x14ac:dyDescent="0.25">
      <c r="A91" s="1">
        <v>41820</v>
      </c>
      <c r="B91" s="3">
        <v>-1.4800000000000001E-2</v>
      </c>
    </row>
    <row r="92" spans="1:2" x14ac:dyDescent="0.25">
      <c r="A92" s="1">
        <v>41851</v>
      </c>
      <c r="B92" s="3">
        <v>-0.126</v>
      </c>
    </row>
    <row r="93" spans="1:2" x14ac:dyDescent="0.25">
      <c r="A93" s="1">
        <v>41880</v>
      </c>
      <c r="B93" s="3">
        <v>-6.3E-3</v>
      </c>
    </row>
    <row r="94" spans="1:2" x14ac:dyDescent="0.25">
      <c r="A94" s="1">
        <v>41912</v>
      </c>
      <c r="B94" s="3">
        <v>-6.0999999999999999E-2</v>
      </c>
    </row>
    <row r="95" spans="1:2" x14ac:dyDescent="0.25">
      <c r="A95" s="1">
        <v>41943</v>
      </c>
      <c r="B95" s="3">
        <v>2.6100000000000002E-2</v>
      </c>
    </row>
    <row r="96" spans="1:2" x14ac:dyDescent="0.25">
      <c r="A96" s="1">
        <v>41971</v>
      </c>
      <c r="B96" s="3">
        <v>8.2400000000000001E-2</v>
      </c>
    </row>
    <row r="97" spans="1:2" x14ac:dyDescent="0.25">
      <c r="A97" s="1">
        <v>42004</v>
      </c>
      <c r="B97" s="3">
        <v>-2.1499999999999998E-2</v>
      </c>
    </row>
    <row r="98" spans="1:2" x14ac:dyDescent="0.25">
      <c r="A98" s="1">
        <v>42034</v>
      </c>
      <c r="B98" s="3">
        <v>8.8300000000000003E-2</v>
      </c>
    </row>
    <row r="99" spans="1:2" x14ac:dyDescent="0.25">
      <c r="A99" s="1">
        <v>42062</v>
      </c>
      <c r="B99" s="3">
        <v>5.5399999999999998E-2</v>
      </c>
    </row>
    <row r="100" spans="1:2" x14ac:dyDescent="0.25">
      <c r="A100" s="1">
        <v>42094</v>
      </c>
      <c r="B100" s="3">
        <v>-3.5999999999999999E-3</v>
      </c>
    </row>
    <row r="101" spans="1:2" x14ac:dyDescent="0.25">
      <c r="A101" s="1">
        <v>42124</v>
      </c>
      <c r="B101" s="3">
        <v>-4.1000000000000003E-3</v>
      </c>
    </row>
    <row r="102" spans="1:2" x14ac:dyDescent="0.25">
      <c r="A102" s="1">
        <v>42153</v>
      </c>
      <c r="B102" s="3">
        <v>-2.6800000000000001E-2</v>
      </c>
    </row>
    <row r="103" spans="1:2" x14ac:dyDescent="0.25">
      <c r="A103" s="1">
        <v>42185</v>
      </c>
      <c r="B103" s="3">
        <v>-2.5899999999999999E-2</v>
      </c>
    </row>
    <row r="104" spans="1:2" x14ac:dyDescent="0.25">
      <c r="A104" s="1">
        <v>42216</v>
      </c>
      <c r="B104" s="3">
        <v>-4.7800000000000002E-2</v>
      </c>
    </row>
    <row r="105" spans="1:2" x14ac:dyDescent="0.25">
      <c r="A105" s="1">
        <v>42247</v>
      </c>
      <c r="B105" s="3">
        <v>-0.1036</v>
      </c>
    </row>
    <row r="106" spans="1:2" x14ac:dyDescent="0.25">
      <c r="A106" s="1">
        <v>42277</v>
      </c>
      <c r="B106" s="3">
        <v>-7.2400000000000006E-2</v>
      </c>
    </row>
    <row r="107" spans="1:2" x14ac:dyDescent="0.25">
      <c r="A107" s="1">
        <v>42307</v>
      </c>
      <c r="B107" s="3">
        <v>0.1883</v>
      </c>
    </row>
    <row r="108" spans="1:2" x14ac:dyDescent="0.25">
      <c r="A108" s="1">
        <v>42338</v>
      </c>
      <c r="B108" s="3">
        <v>1.4200000000000001E-2</v>
      </c>
    </row>
    <row r="109" spans="1:2" x14ac:dyDescent="0.25">
      <c r="A109" s="1">
        <v>42369</v>
      </c>
      <c r="B109" s="3">
        <v>-6.5299999999999997E-2</v>
      </c>
    </row>
    <row r="110" spans="1:2" x14ac:dyDescent="0.25">
      <c r="A110" s="1">
        <v>42398</v>
      </c>
      <c r="B110" s="3">
        <v>-0.13109999999999999</v>
      </c>
    </row>
    <row r="111" spans="1:2" x14ac:dyDescent="0.25">
      <c r="A111" s="1">
        <v>42429</v>
      </c>
      <c r="B111" s="3">
        <v>-8.2000000000000007E-3</v>
      </c>
    </row>
    <row r="112" spans="1:2" x14ac:dyDescent="0.25">
      <c r="A112" s="1">
        <v>42460</v>
      </c>
      <c r="B112" s="3">
        <v>0.1002</v>
      </c>
    </row>
    <row r="113" spans="1:2" x14ac:dyDescent="0.25">
      <c r="A113" s="1">
        <v>42489</v>
      </c>
      <c r="B113" s="3">
        <v>-7.3200000000000001E-2</v>
      </c>
    </row>
    <row r="114" spans="1:2" x14ac:dyDescent="0.25">
      <c r="A114" s="1">
        <v>42521</v>
      </c>
      <c r="B114" s="3">
        <v>-2.9600000000000001E-2</v>
      </c>
    </row>
    <row r="115" spans="1:2" x14ac:dyDescent="0.25">
      <c r="A115" s="1">
        <v>42551</v>
      </c>
      <c r="B115" s="3">
        <v>-0.1094</v>
      </c>
    </row>
    <row r="116" spans="1:2" x14ac:dyDescent="0.25">
      <c r="A116" s="1">
        <v>42580</v>
      </c>
      <c r="B116" s="3">
        <v>0.1149</v>
      </c>
    </row>
    <row r="117" spans="1:2" x14ac:dyDescent="0.25">
      <c r="A117" s="1">
        <v>42613</v>
      </c>
      <c r="B117" s="3">
        <v>1.66E-2</v>
      </c>
    </row>
    <row r="118" spans="1:2" x14ac:dyDescent="0.25">
      <c r="A118" s="1">
        <v>42643</v>
      </c>
      <c r="B118" s="3">
        <v>1.2500000000000001E-2</v>
      </c>
    </row>
    <row r="119" spans="1:2" x14ac:dyDescent="0.25">
      <c r="A119" s="1">
        <v>42674</v>
      </c>
      <c r="B119" s="3">
        <v>6.8999999999999999E-3</v>
      </c>
    </row>
    <row r="120" spans="1:2" x14ac:dyDescent="0.25">
      <c r="A120" s="1">
        <v>42704</v>
      </c>
      <c r="B120" s="3">
        <v>-7.2999999999999995E-2</v>
      </c>
    </row>
    <row r="121" spans="1:2" x14ac:dyDescent="0.25">
      <c r="A121" s="1">
        <v>42734</v>
      </c>
      <c r="B121" s="3">
        <v>0.11840000000000001</v>
      </c>
    </row>
    <row r="122" spans="1:2" x14ac:dyDescent="0.25">
      <c r="A122" s="1">
        <v>42766</v>
      </c>
      <c r="B122" s="3">
        <v>1.2999999999999999E-3</v>
      </c>
    </row>
    <row r="123" spans="1:2" x14ac:dyDescent="0.25">
      <c r="A123" s="1">
        <v>42794</v>
      </c>
      <c r="B123" s="3">
        <v>-4.5699999999999998E-2</v>
      </c>
    </row>
    <row r="124" spans="1:2" x14ac:dyDescent="0.25">
      <c r="A124" s="1">
        <v>42825</v>
      </c>
      <c r="B124" s="3">
        <v>7.1999999999999998E-3</v>
      </c>
    </row>
    <row r="125" spans="1:2" x14ac:dyDescent="0.25">
      <c r="A125" s="1">
        <v>42855</v>
      </c>
      <c r="B125" s="3">
        <v>1.11E-2</v>
      </c>
    </row>
    <row r="126" spans="1:2" x14ac:dyDescent="0.25">
      <c r="A126" s="1">
        <v>42886</v>
      </c>
      <c r="B126" s="3">
        <v>-3.0099999999999998E-2</v>
      </c>
    </row>
    <row r="127" spans="1:2" x14ac:dyDescent="0.25">
      <c r="A127" s="1">
        <v>42916</v>
      </c>
      <c r="B127" s="3">
        <v>-6.1999999999999998E-3</v>
      </c>
    </row>
    <row r="128" spans="1:2" x14ac:dyDescent="0.25">
      <c r="A128" s="1">
        <v>42947</v>
      </c>
      <c r="B128" s="3">
        <v>-4.0099999999999997E-2</v>
      </c>
    </row>
    <row r="129" spans="1:2" x14ac:dyDescent="0.25">
      <c r="A129" s="1">
        <v>42978</v>
      </c>
      <c r="B129" s="3">
        <v>2.8199999999999999E-2</v>
      </c>
    </row>
    <row r="130" spans="1:2" x14ac:dyDescent="0.25">
      <c r="A130" s="1">
        <v>43008</v>
      </c>
      <c r="B130" s="3">
        <v>8.3799999999999999E-2</v>
      </c>
    </row>
    <row r="131" spans="1:2" x14ac:dyDescent="0.25">
      <c r="A131" s="1">
        <v>43039</v>
      </c>
      <c r="B131" s="3">
        <v>5.3600000000000002E-2</v>
      </c>
    </row>
    <row r="132" spans="1:2" x14ac:dyDescent="0.25">
      <c r="A132" s="1">
        <v>43069</v>
      </c>
      <c r="B132" s="3">
        <v>-3.3700000000000001E-2</v>
      </c>
    </row>
    <row r="133" spans="1:2" x14ac:dyDescent="0.25">
      <c r="A133" s="1">
        <v>43100</v>
      </c>
      <c r="B133" s="3">
        <v>3.6400000000000002E-2</v>
      </c>
    </row>
    <row r="134" spans="1:2" x14ac:dyDescent="0.25">
      <c r="B134" s="3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I152"/>
  <sheetViews>
    <sheetView workbookViewId="0">
      <pane ySplit="1" topLeftCell="A2" activePane="bottomLeft" state="frozen"/>
      <selection pane="bottomLeft" activeCell="B1" sqref="B1:B1048576"/>
    </sheetView>
  </sheetViews>
  <sheetFormatPr defaultColWidth="11.42578125" defaultRowHeight="15" x14ac:dyDescent="0.25"/>
  <cols>
    <col min="2" max="2" width="12.5703125" style="5" customWidth="1"/>
    <col min="3" max="3" width="11.42578125" style="10"/>
  </cols>
  <sheetData>
    <row r="1" spans="1:3" x14ac:dyDescent="0.25">
      <c r="A1" s="8" t="s">
        <v>0</v>
      </c>
      <c r="B1" s="12" t="s">
        <v>5</v>
      </c>
      <c r="C1" s="13" t="s">
        <v>3</v>
      </c>
    </row>
    <row r="2" spans="1:3" x14ac:dyDescent="0.25">
      <c r="A2" s="9">
        <v>39113</v>
      </c>
      <c r="B2" s="6">
        <v>1.1200000000000002E-2</v>
      </c>
      <c r="C2" s="7">
        <v>-1.0851190139298538E-2</v>
      </c>
    </row>
    <row r="3" spans="1:3" x14ac:dyDescent="0.25">
      <c r="A3" s="9">
        <v>39141</v>
      </c>
      <c r="B3" s="6">
        <v>-6.5000000000000006E-3</v>
      </c>
      <c r="C3" s="7">
        <v>3.0018858893998423E-2</v>
      </c>
    </row>
    <row r="4" spans="1:3" x14ac:dyDescent="0.25">
      <c r="A4" s="9">
        <v>39171</v>
      </c>
      <c r="B4" s="6">
        <v>1.5900000000000001E-2</v>
      </c>
      <c r="C4" s="7">
        <v>7.1105712608985197E-2</v>
      </c>
    </row>
    <row r="5" spans="1:3" x14ac:dyDescent="0.25">
      <c r="A5" s="9">
        <v>39202</v>
      </c>
      <c r="B5" s="6">
        <v>4.2099999999999999E-2</v>
      </c>
      <c r="C5" s="7">
        <v>6.4000301599564408E-2</v>
      </c>
    </row>
    <row r="6" spans="1:3" x14ac:dyDescent="0.25">
      <c r="A6" s="9">
        <v>39233</v>
      </c>
      <c r="B6" s="6">
        <v>2.4700000000000003E-2</v>
      </c>
      <c r="C6" s="7">
        <v>1.5765464133779179E-2</v>
      </c>
    </row>
    <row r="7" spans="1:3" x14ac:dyDescent="0.25">
      <c r="A7" s="9">
        <v>39262</v>
      </c>
      <c r="B7" s="6">
        <v>-9.0000000000000011E-3</v>
      </c>
      <c r="C7" s="7">
        <v>-5.2849105106507838E-2</v>
      </c>
    </row>
    <row r="8" spans="1:3" x14ac:dyDescent="0.25">
      <c r="A8" s="9">
        <v>39294</v>
      </c>
      <c r="B8" s="6">
        <v>-2.2799999999999997E-2</v>
      </c>
      <c r="C8" s="7">
        <v>7.1240488735710341E-3</v>
      </c>
    </row>
    <row r="9" spans="1:3" x14ac:dyDescent="0.25">
      <c r="A9" s="9">
        <v>39325</v>
      </c>
      <c r="B9" s="6">
        <v>-2.7000000000000001E-3</v>
      </c>
      <c r="C9" s="7">
        <v>2.9239967987190332E-2</v>
      </c>
    </row>
    <row r="10" spans="1:3" x14ac:dyDescent="0.25">
      <c r="A10" s="9">
        <v>39353</v>
      </c>
      <c r="B10" s="6">
        <v>4.6100000000000002E-2</v>
      </c>
      <c r="C10" s="7">
        <v>2.0061089242943791E-2</v>
      </c>
    </row>
    <row r="11" spans="1:3" x14ac:dyDescent="0.25">
      <c r="A11" s="9">
        <v>39386</v>
      </c>
      <c r="B11" s="6">
        <v>2.9900000000000003E-2</v>
      </c>
      <c r="C11" s="7">
        <v>-1.8542974380707955E-2</v>
      </c>
    </row>
    <row r="12" spans="1:3" x14ac:dyDescent="0.25">
      <c r="A12" s="9">
        <v>39416</v>
      </c>
      <c r="B12" s="6">
        <v>-4.24E-2</v>
      </c>
      <c r="C12" s="7">
        <v>2.5004676120498608E-2</v>
      </c>
    </row>
    <row r="13" spans="1:3" x14ac:dyDescent="0.25">
      <c r="A13" s="9">
        <v>39447</v>
      </c>
      <c r="B13" s="6">
        <v>-1.37E-2</v>
      </c>
      <c r="C13" s="7">
        <v>-0.15067827364222272</v>
      </c>
    </row>
    <row r="14" spans="1:3" x14ac:dyDescent="0.25">
      <c r="A14" s="9">
        <v>39478</v>
      </c>
      <c r="B14" s="6">
        <v>-7.7100000000000002E-2</v>
      </c>
      <c r="C14" s="7">
        <v>-1.5123160798336248E-2</v>
      </c>
    </row>
    <row r="15" spans="1:3" x14ac:dyDescent="0.25">
      <c r="A15" s="9">
        <v>39507</v>
      </c>
      <c r="B15" s="6">
        <v>-7.4000000000000003E-3</v>
      </c>
      <c r="C15" s="7">
        <v>-3.1587961656902114E-2</v>
      </c>
    </row>
    <row r="16" spans="1:3" x14ac:dyDescent="0.25">
      <c r="A16" s="9">
        <v>39538</v>
      </c>
      <c r="B16" s="6">
        <v>-1.2500000000000001E-2</v>
      </c>
      <c r="C16" s="7">
        <v>6.3328461398350813E-2</v>
      </c>
    </row>
    <row r="17" spans="1:3" x14ac:dyDescent="0.25">
      <c r="A17" s="9">
        <v>39568</v>
      </c>
      <c r="B17" s="6">
        <v>4.9800000000000004E-2</v>
      </c>
      <c r="C17" s="7">
        <v>2.1294294390672961E-2</v>
      </c>
    </row>
    <row r="18" spans="1:3" x14ac:dyDescent="0.25">
      <c r="A18" s="9">
        <v>39598</v>
      </c>
      <c r="B18" s="6">
        <v>1.11E-2</v>
      </c>
      <c r="C18" s="7">
        <v>-9.5602407746531365E-2</v>
      </c>
    </row>
    <row r="19" spans="1:3" x14ac:dyDescent="0.25">
      <c r="A19" s="9">
        <v>39629</v>
      </c>
      <c r="B19" s="6">
        <v>-8.1000000000000003E-2</v>
      </c>
      <c r="C19" s="7">
        <v>9.541474510354692E-3</v>
      </c>
    </row>
    <row r="20" spans="1:3" x14ac:dyDescent="0.25">
      <c r="A20" s="9">
        <v>39660</v>
      </c>
      <c r="B20" s="6">
        <v>-2.53E-2</v>
      </c>
      <c r="C20" s="7">
        <v>-8.8370589173669568E-3</v>
      </c>
    </row>
    <row r="21" spans="1:3" x14ac:dyDescent="0.25">
      <c r="A21" s="9">
        <v>39689</v>
      </c>
      <c r="B21" s="6">
        <v>-1.6E-2</v>
      </c>
      <c r="C21" s="7">
        <v>-9.2066674392818973E-2</v>
      </c>
    </row>
    <row r="22" spans="1:3" x14ac:dyDescent="0.25">
      <c r="A22" s="9">
        <v>39721</v>
      </c>
      <c r="B22" s="6">
        <v>-0.12130000000000001</v>
      </c>
      <c r="C22" s="7">
        <v>-0.14458015957900958</v>
      </c>
    </row>
    <row r="23" spans="1:3" x14ac:dyDescent="0.25">
      <c r="A23" s="9">
        <v>39752</v>
      </c>
      <c r="B23" s="6">
        <v>-0.18989999999999999</v>
      </c>
      <c r="C23" s="7">
        <v>-6.3859698488596656E-2</v>
      </c>
    </row>
    <row r="24" spans="1:3" x14ac:dyDescent="0.25">
      <c r="A24" s="9">
        <v>39780</v>
      </c>
      <c r="B24" s="6">
        <v>-6.7199999999999996E-2</v>
      </c>
      <c r="C24" s="7">
        <v>3.0144997211347734E-2</v>
      </c>
    </row>
    <row r="25" spans="1:3" x14ac:dyDescent="0.25">
      <c r="A25" s="9">
        <v>39813</v>
      </c>
      <c r="B25" s="6">
        <v>3.0600000000000002E-2</v>
      </c>
      <c r="C25" s="7">
        <v>-9.8093650549195166E-2</v>
      </c>
    </row>
    <row r="26" spans="1:3" x14ac:dyDescent="0.25">
      <c r="A26" s="9">
        <v>39843</v>
      </c>
      <c r="B26" s="6">
        <v>-8.8499999999999995E-2</v>
      </c>
      <c r="C26" s="7">
        <v>-0.11400880445956113</v>
      </c>
    </row>
    <row r="27" spans="1:3" x14ac:dyDescent="0.25">
      <c r="A27" s="9">
        <v>39871</v>
      </c>
      <c r="B27" s="6">
        <v>-0.10490000000000001</v>
      </c>
      <c r="C27" s="7">
        <v>6.2704558744099637E-2</v>
      </c>
    </row>
    <row r="28" spans="1:3" x14ac:dyDescent="0.25">
      <c r="A28" s="9">
        <v>39903</v>
      </c>
      <c r="B28" s="6">
        <v>7.2400000000000006E-2</v>
      </c>
      <c r="C28" s="7">
        <v>0.16762066396160208</v>
      </c>
    </row>
    <row r="29" spans="1:3" x14ac:dyDescent="0.25">
      <c r="A29" s="9">
        <v>39933</v>
      </c>
      <c r="B29" s="6">
        <v>0.109</v>
      </c>
      <c r="C29" s="7">
        <v>3.5930688442800646E-2</v>
      </c>
    </row>
    <row r="30" spans="1:3" x14ac:dyDescent="0.25">
      <c r="A30" s="9">
        <v>39962</v>
      </c>
      <c r="B30" s="6">
        <v>8.6199999999999999E-2</v>
      </c>
      <c r="C30" s="7">
        <v>-2.6752581901071937E-2</v>
      </c>
    </row>
    <row r="31" spans="1:3" x14ac:dyDescent="0.25">
      <c r="A31" s="9">
        <v>39994</v>
      </c>
      <c r="B31" s="6">
        <v>-6.0999999999999995E-3</v>
      </c>
      <c r="C31" s="7">
        <v>0.10886653712594088</v>
      </c>
    </row>
    <row r="32" spans="1:3" x14ac:dyDescent="0.25">
      <c r="A32" s="9">
        <v>40025</v>
      </c>
      <c r="B32" s="6">
        <v>8.3699999999999997E-2</v>
      </c>
      <c r="C32" s="7">
        <v>2.4843631749433024E-2</v>
      </c>
    </row>
    <row r="33" spans="1:3" x14ac:dyDescent="0.25">
      <c r="A33" s="9">
        <v>40056</v>
      </c>
      <c r="B33" s="6">
        <v>3.9100000000000003E-2</v>
      </c>
      <c r="C33" s="7">
        <v>3.8529794125945316E-2</v>
      </c>
    </row>
    <row r="34" spans="1:3" x14ac:dyDescent="0.25">
      <c r="A34" s="9">
        <v>40086</v>
      </c>
      <c r="B34" s="6">
        <v>3.8100000000000002E-2</v>
      </c>
      <c r="C34" s="7">
        <v>-4.5848960707286224E-2</v>
      </c>
    </row>
    <row r="35" spans="1:3" x14ac:dyDescent="0.25">
      <c r="A35" s="9">
        <v>40116</v>
      </c>
      <c r="B35" s="6">
        <v>-1.8500000000000003E-2</v>
      </c>
      <c r="C35" s="7">
        <v>3.8964320238673841E-2</v>
      </c>
    </row>
    <row r="36" spans="1:3" x14ac:dyDescent="0.25">
      <c r="A36" s="9">
        <v>40147</v>
      </c>
      <c r="B36" s="6">
        <v>3.8699999999999998E-2</v>
      </c>
      <c r="C36" s="7">
        <v>5.8919821454267156E-2</v>
      </c>
    </row>
    <row r="37" spans="1:3" x14ac:dyDescent="0.25">
      <c r="A37" s="9">
        <v>40178</v>
      </c>
      <c r="B37" s="6">
        <v>1.6899999999999998E-2</v>
      </c>
      <c r="C37" s="7">
        <v>-5.8521900668601211E-2</v>
      </c>
    </row>
    <row r="38" spans="1:3" x14ac:dyDescent="0.25">
      <c r="A38" s="9">
        <v>40207</v>
      </c>
      <c r="B38" s="6">
        <v>-4.1900000000000007E-2</v>
      </c>
      <c r="C38" s="7">
        <v>-1.8417658582639033E-3</v>
      </c>
    </row>
    <row r="39" spans="1:3" x14ac:dyDescent="0.25">
      <c r="A39" s="9">
        <v>40235</v>
      </c>
      <c r="B39" s="6">
        <v>1.23E-2</v>
      </c>
      <c r="C39" s="7">
        <v>9.9150453493794338E-2</v>
      </c>
    </row>
    <row r="40" spans="1:3" x14ac:dyDescent="0.25">
      <c r="A40" s="9">
        <v>40268</v>
      </c>
      <c r="B40" s="6">
        <v>5.9299999999999999E-2</v>
      </c>
      <c r="C40" s="7">
        <v>-2.9007013131665559E-3</v>
      </c>
    </row>
    <row r="41" spans="1:3" x14ac:dyDescent="0.25">
      <c r="A41" s="9">
        <v>40298</v>
      </c>
      <c r="B41" s="6">
        <v>-1.6000000000000001E-3</v>
      </c>
      <c r="C41" s="7">
        <v>-2.79300017200401E-2</v>
      </c>
    </row>
    <row r="42" spans="1:3" x14ac:dyDescent="0.25">
      <c r="A42" s="9">
        <v>40329</v>
      </c>
      <c r="B42" s="6">
        <v>-9.9100000000000008E-2</v>
      </c>
      <c r="C42" s="7">
        <v>1.9950974953401526E-4</v>
      </c>
    </row>
    <row r="43" spans="1:3" x14ac:dyDescent="0.25">
      <c r="A43" s="9">
        <v>40359</v>
      </c>
      <c r="B43" s="6">
        <v>-3.56E-2</v>
      </c>
      <c r="C43" s="7">
        <v>3.0584122488620927E-2</v>
      </c>
    </row>
    <row r="44" spans="1:3" x14ac:dyDescent="0.25">
      <c r="A44" s="9">
        <v>40389</v>
      </c>
      <c r="B44" s="6">
        <v>8.0199999999999994E-2</v>
      </c>
      <c r="C44" s="7">
        <v>-3.6231470259326881E-2</v>
      </c>
    </row>
    <row r="45" spans="1:3" x14ac:dyDescent="0.25">
      <c r="A45" s="9">
        <v>40421</v>
      </c>
      <c r="B45" s="6">
        <v>-3.9199999999999999E-2</v>
      </c>
      <c r="C45" s="7">
        <v>5.127232304900918E-2</v>
      </c>
    </row>
    <row r="46" spans="1:3" x14ac:dyDescent="0.25">
      <c r="A46" s="9">
        <v>40451</v>
      </c>
      <c r="B46" s="6">
        <v>9.11E-2</v>
      </c>
      <c r="C46" s="7">
        <v>5.97766736668797E-2</v>
      </c>
    </row>
    <row r="47" spans="1:3" x14ac:dyDescent="0.25">
      <c r="A47" s="9">
        <v>40480</v>
      </c>
      <c r="B47" s="6">
        <v>3.6499999999999998E-2</v>
      </c>
      <c r="C47" s="7">
        <v>1.3197278058330006E-2</v>
      </c>
    </row>
    <row r="48" spans="1:3" x14ac:dyDescent="0.25">
      <c r="A48" s="9">
        <v>40512</v>
      </c>
      <c r="B48" s="6">
        <v>-2.35E-2</v>
      </c>
      <c r="C48" s="7">
        <v>3.3744492270122044E-2</v>
      </c>
    </row>
    <row r="49" spans="1:3" x14ac:dyDescent="0.25">
      <c r="A49" s="9">
        <v>40543</v>
      </c>
      <c r="B49" s="6">
        <v>7.2499999999999995E-2</v>
      </c>
      <c r="C49" s="7">
        <v>2.3616655080838551E-2</v>
      </c>
    </row>
    <row r="50" spans="1:3" x14ac:dyDescent="0.25">
      <c r="A50" s="9">
        <v>40574</v>
      </c>
      <c r="B50" s="6">
        <v>2.1899999999999999E-2</v>
      </c>
      <c r="C50" s="7">
        <v>2.7529550708810354E-2</v>
      </c>
    </row>
    <row r="51" spans="1:3" x14ac:dyDescent="0.25">
      <c r="A51" s="9">
        <v>40602</v>
      </c>
      <c r="B51" s="6">
        <v>3.3300000000000003E-2</v>
      </c>
      <c r="C51" s="7">
        <v>-3.1765622331078568E-2</v>
      </c>
    </row>
    <row r="52" spans="1:3" x14ac:dyDescent="0.25">
      <c r="A52" s="9">
        <v>40633</v>
      </c>
      <c r="B52" s="6">
        <v>-1.24E-2</v>
      </c>
      <c r="C52" s="7">
        <v>6.7196288479759891E-2</v>
      </c>
    </row>
    <row r="53" spans="1:3" x14ac:dyDescent="0.25">
      <c r="A53" s="1">
        <v>40662</v>
      </c>
      <c r="B53" s="6">
        <v>4.0199999999999993E-2</v>
      </c>
      <c r="C53" s="7">
        <v>-2.9379359414488194E-2</v>
      </c>
    </row>
    <row r="54" spans="1:3" x14ac:dyDescent="0.25">
      <c r="A54" s="1">
        <v>40694</v>
      </c>
      <c r="B54" s="6">
        <v>-2.4500000000000001E-2</v>
      </c>
      <c r="C54" s="7">
        <v>1.131804253646162E-2</v>
      </c>
    </row>
    <row r="55" spans="1:3" x14ac:dyDescent="0.25">
      <c r="A55" s="1">
        <v>40724</v>
      </c>
      <c r="B55" s="6">
        <v>-1.7299999999999999E-2</v>
      </c>
      <c r="C55" s="7">
        <v>-2.9482528646178573E-2</v>
      </c>
    </row>
    <row r="56" spans="1:3" x14ac:dyDescent="0.25">
      <c r="A56" s="1">
        <v>40753</v>
      </c>
      <c r="B56" s="6">
        <v>-1.89E-2</v>
      </c>
      <c r="C56" s="7">
        <v>-0.1919212264343701</v>
      </c>
    </row>
    <row r="57" spans="1:3" x14ac:dyDescent="0.25">
      <c r="A57" s="1">
        <v>40786</v>
      </c>
      <c r="B57" s="6">
        <v>-7.2599999999999998E-2</v>
      </c>
      <c r="C57" s="7">
        <v>-4.8891513731320883E-2</v>
      </c>
    </row>
    <row r="58" spans="1:3" x14ac:dyDescent="0.25">
      <c r="A58" s="1">
        <v>40816</v>
      </c>
      <c r="B58" s="6">
        <v>-8.8499999999999995E-2</v>
      </c>
      <c r="C58" s="7">
        <v>0.11619729148132038</v>
      </c>
    </row>
    <row r="59" spans="1:3" x14ac:dyDescent="0.25">
      <c r="A59" s="1">
        <v>40847</v>
      </c>
      <c r="B59" s="6">
        <v>0.1026</v>
      </c>
      <c r="C59" s="7">
        <v>-8.5486231561166144E-3</v>
      </c>
    </row>
    <row r="60" spans="1:3" x14ac:dyDescent="0.25">
      <c r="A60" s="1">
        <v>40877</v>
      </c>
      <c r="B60" s="6">
        <v>-2.69E-2</v>
      </c>
      <c r="C60" s="7">
        <v>-3.1285064294754049E-2</v>
      </c>
    </row>
    <row r="61" spans="1:3" x14ac:dyDescent="0.25">
      <c r="A61" s="1">
        <v>40907</v>
      </c>
      <c r="B61" s="6">
        <v>-1.7000000000000001E-3</v>
      </c>
      <c r="C61" s="7">
        <v>9.5036755819237234E-2</v>
      </c>
    </row>
    <row r="62" spans="1:3" x14ac:dyDescent="0.25">
      <c r="A62" s="1">
        <v>40939</v>
      </c>
      <c r="B62" s="6">
        <v>4.9299999999999997E-2</v>
      </c>
      <c r="C62" s="7">
        <v>6.1491786138416764E-2</v>
      </c>
    </row>
    <row r="63" spans="1:3" x14ac:dyDescent="0.25">
      <c r="A63" s="1">
        <v>40968</v>
      </c>
      <c r="B63" s="6">
        <v>4.6600000000000003E-2</v>
      </c>
      <c r="C63" s="7">
        <v>1.3236426495542459E-2</v>
      </c>
    </row>
    <row r="64" spans="1:3" x14ac:dyDescent="0.25">
      <c r="A64" s="1">
        <v>40998</v>
      </c>
      <c r="B64" s="6">
        <v>1.0200000000000001E-2</v>
      </c>
      <c r="C64" s="7">
        <v>-2.6722999543044291E-2</v>
      </c>
    </row>
    <row r="65" spans="1:3" x14ac:dyDescent="0.25">
      <c r="A65" s="1">
        <v>41029</v>
      </c>
      <c r="B65" s="6">
        <v>-1.37E-2</v>
      </c>
      <c r="C65" s="7">
        <v>-7.3479677739466134E-2</v>
      </c>
    </row>
    <row r="66" spans="1:3" x14ac:dyDescent="0.25">
      <c r="A66" s="1">
        <v>41060</v>
      </c>
      <c r="B66" s="6">
        <v>-8.9900000000000008E-2</v>
      </c>
      <c r="C66" s="7">
        <v>2.4248194527956297E-2</v>
      </c>
    </row>
    <row r="67" spans="1:3" x14ac:dyDescent="0.25">
      <c r="A67" s="1">
        <v>41089</v>
      </c>
      <c r="B67" s="6">
        <v>4.9299999999999997E-2</v>
      </c>
      <c r="C67" s="7">
        <v>5.5480744750597007E-2</v>
      </c>
    </row>
    <row r="68" spans="1:3" x14ac:dyDescent="0.25">
      <c r="A68" s="1">
        <v>41121</v>
      </c>
      <c r="B68" s="6">
        <v>1.2E-2</v>
      </c>
      <c r="C68" s="7">
        <v>2.9315218237303556E-2</v>
      </c>
    </row>
    <row r="69" spans="1:3" x14ac:dyDescent="0.25">
      <c r="A69" s="1">
        <v>41152</v>
      </c>
      <c r="B69" s="6">
        <v>2.29E-2</v>
      </c>
      <c r="C69" s="7">
        <v>3.5198286223981287E-2</v>
      </c>
    </row>
    <row r="70" spans="1:3" x14ac:dyDescent="0.25">
      <c r="A70" s="1">
        <v>41180</v>
      </c>
      <c r="B70" s="6">
        <v>2.52E-2</v>
      </c>
      <c r="C70" s="7">
        <v>6.1639491424189509E-3</v>
      </c>
    </row>
    <row r="71" spans="1:3" x14ac:dyDescent="0.25">
      <c r="A71" s="1">
        <v>41213</v>
      </c>
      <c r="B71" s="6">
        <v>-7.6E-3</v>
      </c>
      <c r="C71" s="7">
        <v>1.9952830447837386E-2</v>
      </c>
    </row>
    <row r="72" spans="1:3" x14ac:dyDescent="0.25">
      <c r="A72" s="1">
        <v>41243</v>
      </c>
      <c r="B72" s="6">
        <v>1.0700000000000001E-2</v>
      </c>
      <c r="C72" s="7">
        <v>2.7937362365809241E-2</v>
      </c>
    </row>
    <row r="73" spans="1:3" x14ac:dyDescent="0.25">
      <c r="A73" s="1">
        <v>41274</v>
      </c>
      <c r="B73" s="6">
        <v>1.7500000000000002E-2</v>
      </c>
      <c r="C73" s="7">
        <v>2.1499117235798514E-2</v>
      </c>
    </row>
    <row r="74" spans="1:3" x14ac:dyDescent="0.25">
      <c r="A74" s="1">
        <v>41305</v>
      </c>
      <c r="B74" s="6">
        <v>0.05</v>
      </c>
      <c r="C74" s="7">
        <v>-4.4173598242532482E-3</v>
      </c>
    </row>
    <row r="75" spans="1:3" x14ac:dyDescent="0.25">
      <c r="A75" s="1">
        <v>41333</v>
      </c>
      <c r="B75" s="6">
        <v>-2.0000000000000001E-4</v>
      </c>
      <c r="C75" s="7">
        <v>6.9248178887919357E-3</v>
      </c>
    </row>
    <row r="76" spans="1:3" x14ac:dyDescent="0.25">
      <c r="A76" s="1">
        <v>41362</v>
      </c>
      <c r="B76" s="6">
        <v>2.0899999999999998E-2</v>
      </c>
      <c r="C76" s="7">
        <v>1.5188607137351994E-2</v>
      </c>
    </row>
    <row r="77" spans="1:3" x14ac:dyDescent="0.25">
      <c r="A77" s="1">
        <v>41394</v>
      </c>
      <c r="B77" s="6">
        <v>2.8999999999999998E-2</v>
      </c>
      <c r="C77" s="7">
        <v>5.4984310158495656E-2</v>
      </c>
    </row>
    <row r="78" spans="1:3" x14ac:dyDescent="0.25">
      <c r="A78" s="1">
        <v>41425</v>
      </c>
      <c r="B78" s="6">
        <v>-2.8999999999999998E-3</v>
      </c>
      <c r="C78" s="7">
        <v>-4.6667517437168821E-2</v>
      </c>
    </row>
    <row r="79" spans="1:3" x14ac:dyDescent="0.25">
      <c r="A79" s="1">
        <v>41453</v>
      </c>
      <c r="B79" s="6">
        <v>-2.6099999999999998E-2</v>
      </c>
      <c r="C79" s="7">
        <v>3.9796550848417427E-2</v>
      </c>
    </row>
    <row r="80" spans="1:3" x14ac:dyDescent="0.25">
      <c r="A80" s="1">
        <v>41486</v>
      </c>
      <c r="B80" s="6">
        <v>5.1900000000000002E-2</v>
      </c>
      <c r="C80" s="7">
        <v>-2.0882123871983516E-2</v>
      </c>
    </row>
    <row r="81" spans="1:3" x14ac:dyDescent="0.25">
      <c r="A81" s="1">
        <v>41516</v>
      </c>
      <c r="B81" s="6">
        <v>-2.3300000000000001E-2</v>
      </c>
      <c r="C81" s="7">
        <v>6.0624633005832686E-2</v>
      </c>
    </row>
    <row r="82" spans="1:3" x14ac:dyDescent="0.25">
      <c r="A82" s="1">
        <v>41547</v>
      </c>
      <c r="B82" s="6">
        <v>4.82E-2</v>
      </c>
      <c r="C82" s="7">
        <v>5.1140220492899298E-2</v>
      </c>
    </row>
    <row r="83" spans="1:3" x14ac:dyDescent="0.25">
      <c r="A83" s="1">
        <v>41578</v>
      </c>
      <c r="B83" s="6">
        <v>3.8300000000000001E-2</v>
      </c>
      <c r="C83" s="7">
        <v>4.1109494682988343E-2</v>
      </c>
    </row>
    <row r="84" spans="1:3" x14ac:dyDescent="0.25">
      <c r="A84" s="1">
        <v>41607</v>
      </c>
      <c r="B84" s="6">
        <v>1.5900000000000001E-2</v>
      </c>
      <c r="C84" s="7">
        <v>1.5614637921688169E-2</v>
      </c>
    </row>
    <row r="85" spans="1:3" x14ac:dyDescent="0.25">
      <c r="A85" s="1">
        <v>41639</v>
      </c>
      <c r="B85" s="6">
        <v>2.0099999999999996E-2</v>
      </c>
      <c r="C85" s="7">
        <v>-2.5719804001158943E-2</v>
      </c>
    </row>
    <row r="86" spans="1:3" x14ac:dyDescent="0.25">
      <c r="A86" s="1">
        <v>41670</v>
      </c>
      <c r="B86" s="6">
        <v>-3.7699999999999997E-2</v>
      </c>
      <c r="C86" s="7">
        <v>4.1433451699000257E-2</v>
      </c>
    </row>
    <row r="87" spans="1:3" x14ac:dyDescent="0.25">
      <c r="A87" s="1">
        <v>41698</v>
      </c>
      <c r="B87" s="6">
        <v>4.8099999999999997E-2</v>
      </c>
      <c r="C87" s="7">
        <v>-1.4049607607874836E-2</v>
      </c>
    </row>
    <row r="88" spans="1:3" x14ac:dyDescent="0.25">
      <c r="A88" s="1">
        <v>41729</v>
      </c>
      <c r="B88" s="6">
        <v>-8.9999999999999998E-4</v>
      </c>
      <c r="C88" s="7">
        <v>4.9519420157261018E-3</v>
      </c>
    </row>
    <row r="89" spans="1:3" x14ac:dyDescent="0.25">
      <c r="A89" s="1">
        <v>41759</v>
      </c>
      <c r="B89" s="6">
        <v>8.3000000000000001E-3</v>
      </c>
      <c r="C89" s="7">
        <v>3.5408820302467309E-2</v>
      </c>
    </row>
    <row r="90" spans="1:3" x14ac:dyDescent="0.25">
      <c r="A90" s="1">
        <v>41789</v>
      </c>
      <c r="B90" s="6">
        <v>1.6299999999999999E-2</v>
      </c>
      <c r="C90" s="7">
        <v>-1.1082795015908309E-2</v>
      </c>
    </row>
    <row r="91" spans="1:3" x14ac:dyDescent="0.25">
      <c r="A91" s="1">
        <v>41820</v>
      </c>
      <c r="B91" s="6">
        <v>1.6500000000000001E-2</v>
      </c>
      <c r="C91" s="7">
        <v>-4.3281480804356787E-2</v>
      </c>
    </row>
    <row r="92" spans="1:3" x14ac:dyDescent="0.25">
      <c r="A92" s="1">
        <v>41851</v>
      </c>
      <c r="B92" s="6">
        <v>-1.67E-2</v>
      </c>
      <c r="C92" s="7">
        <v>6.6637877385530026E-3</v>
      </c>
    </row>
    <row r="93" spans="1:3" x14ac:dyDescent="0.25">
      <c r="A93" s="1">
        <v>41880</v>
      </c>
      <c r="B93" s="6">
        <v>0.02</v>
      </c>
      <c r="C93" s="7">
        <v>4.360938646314427E-4</v>
      </c>
    </row>
    <row r="94" spans="1:3" x14ac:dyDescent="0.25">
      <c r="A94" s="1">
        <v>41912</v>
      </c>
      <c r="B94" s="6">
        <v>-2.87E-2</v>
      </c>
      <c r="C94" s="7">
        <v>-1.5561011476773735E-2</v>
      </c>
    </row>
    <row r="95" spans="1:3" x14ac:dyDescent="0.25">
      <c r="A95" s="1">
        <v>41943</v>
      </c>
      <c r="B95" s="6">
        <v>5.6999999999999993E-3</v>
      </c>
      <c r="C95" s="7">
        <v>7.011778697421743E-2</v>
      </c>
    </row>
    <row r="96" spans="1:3" x14ac:dyDescent="0.25">
      <c r="A96" s="1">
        <v>41971</v>
      </c>
      <c r="B96" s="6">
        <v>1.84E-2</v>
      </c>
      <c r="C96" s="7">
        <v>-1.7563615410248007E-2</v>
      </c>
    </row>
    <row r="97" spans="1:3" x14ac:dyDescent="0.25">
      <c r="A97" s="1">
        <v>42004</v>
      </c>
      <c r="B97" s="6">
        <v>-1.7100000000000001E-2</v>
      </c>
      <c r="C97" s="7">
        <v>9.0639538391493552E-2</v>
      </c>
    </row>
    <row r="98" spans="1:3" x14ac:dyDescent="0.25">
      <c r="A98" s="1">
        <v>42034</v>
      </c>
      <c r="B98" s="6">
        <v>-1.8799999999999997E-2</v>
      </c>
      <c r="C98" s="7">
        <v>6.6141636148690855E-2</v>
      </c>
    </row>
    <row r="99" spans="1:3" x14ac:dyDescent="0.25">
      <c r="A99" s="1">
        <v>42062</v>
      </c>
      <c r="B99" s="6">
        <v>5.6799999999999996E-2</v>
      </c>
      <c r="C99" s="7">
        <v>4.9511190324589012E-2</v>
      </c>
    </row>
    <row r="100" spans="1:3" x14ac:dyDescent="0.25">
      <c r="A100" s="1">
        <v>42094</v>
      </c>
      <c r="B100" s="6">
        <v>-1.8100000000000002E-2</v>
      </c>
      <c r="C100" s="7">
        <v>-4.2769745234777688E-2</v>
      </c>
    </row>
    <row r="101" spans="1:3" x14ac:dyDescent="0.25">
      <c r="A101" s="1">
        <v>42124</v>
      </c>
      <c r="B101" s="6">
        <v>2.1600000000000001E-2</v>
      </c>
      <c r="C101" s="7">
        <v>-3.5409660247252548E-3</v>
      </c>
    </row>
    <row r="102" spans="1:3" x14ac:dyDescent="0.25">
      <c r="A102" s="1">
        <v>42153</v>
      </c>
      <c r="B102" s="6">
        <v>5.0000000000000001E-4</v>
      </c>
      <c r="C102" s="7">
        <v>-4.107744586323947E-2</v>
      </c>
    </row>
    <row r="103" spans="1:3" x14ac:dyDescent="0.25">
      <c r="A103" s="1">
        <v>42185</v>
      </c>
      <c r="B103" s="6">
        <v>-2.46E-2</v>
      </c>
      <c r="C103" s="7">
        <v>3.3259160699367102E-2</v>
      </c>
    </row>
    <row r="104" spans="1:3" x14ac:dyDescent="0.25">
      <c r="A104" s="1">
        <v>42216</v>
      </c>
      <c r="B104" s="6">
        <v>1.7299999999999999E-2</v>
      </c>
      <c r="C104" s="7">
        <v>-8.7838975580107517E-2</v>
      </c>
    </row>
    <row r="105" spans="1:3" x14ac:dyDescent="0.25">
      <c r="A105" s="1">
        <v>42247</v>
      </c>
      <c r="B105" s="6">
        <v>-6.8099999999999994E-2</v>
      </c>
      <c r="C105" s="7">
        <v>-6.3513359310340703E-2</v>
      </c>
    </row>
    <row r="106" spans="1:3" x14ac:dyDescent="0.25">
      <c r="A106" s="1">
        <v>42277</v>
      </c>
      <c r="B106" s="6">
        <v>-3.8599999999999995E-2</v>
      </c>
      <c r="C106" s="7">
        <v>0.12315165407008256</v>
      </c>
    </row>
    <row r="107" spans="1:3" x14ac:dyDescent="0.25">
      <c r="A107" s="1">
        <v>42307</v>
      </c>
      <c r="B107" s="6">
        <v>7.8299999999999995E-2</v>
      </c>
      <c r="C107" s="7">
        <v>4.9039997480408444E-2</v>
      </c>
    </row>
    <row r="108" spans="1:3" x14ac:dyDescent="0.25">
      <c r="A108" s="1">
        <v>42338</v>
      </c>
      <c r="B108" s="6">
        <v>-6.7000000000000002E-3</v>
      </c>
      <c r="C108" s="7">
        <v>-5.6159529078324874E-2</v>
      </c>
    </row>
    <row r="109" spans="1:3" x14ac:dyDescent="0.25">
      <c r="A109" s="1">
        <v>42369</v>
      </c>
      <c r="B109" s="6">
        <v>-1.8700000000000001E-2</v>
      </c>
      <c r="C109" s="7">
        <v>-8.7954812904523574E-2</v>
      </c>
    </row>
    <row r="110" spans="1:3" x14ac:dyDescent="0.25">
      <c r="A110" s="1">
        <v>42398</v>
      </c>
      <c r="B110" s="6">
        <v>-6.0499999999999998E-2</v>
      </c>
      <c r="C110" s="7">
        <v>-3.0894728690028586E-2</v>
      </c>
    </row>
    <row r="111" spans="1:3" x14ac:dyDescent="0.25">
      <c r="A111" s="1">
        <v>42429</v>
      </c>
      <c r="B111" s="6">
        <v>-9.5999999999999992E-3</v>
      </c>
      <c r="C111" s="7">
        <v>4.9509168191115199E-2</v>
      </c>
    </row>
    <row r="112" spans="1:3" x14ac:dyDescent="0.25">
      <c r="A112" s="1">
        <v>42460</v>
      </c>
      <c r="B112" s="6">
        <v>6.5199999999999994E-2</v>
      </c>
      <c r="C112" s="7">
        <v>7.3714203011098108E-3</v>
      </c>
    </row>
    <row r="113" spans="1:3" x14ac:dyDescent="0.25">
      <c r="A113" s="1">
        <v>42489</v>
      </c>
      <c r="B113" s="6">
        <v>1.38E-2</v>
      </c>
      <c r="C113" s="7">
        <v>2.2290186451919072E-2</v>
      </c>
    </row>
    <row r="114" spans="1:3" x14ac:dyDescent="0.25">
      <c r="A114" s="1">
        <v>42521</v>
      </c>
      <c r="B114" s="6">
        <v>2.3E-3</v>
      </c>
      <c r="C114" s="7">
        <v>-5.6773374041925562E-2</v>
      </c>
    </row>
    <row r="115" spans="1:3" x14ac:dyDescent="0.25">
      <c r="A115" s="1">
        <v>42551</v>
      </c>
      <c r="B115" s="6">
        <v>-1.2800000000000001E-2</v>
      </c>
      <c r="C115" s="7">
        <v>6.7913641980036146E-2</v>
      </c>
    </row>
    <row r="116" spans="1:3" x14ac:dyDescent="0.25">
      <c r="A116" s="1">
        <v>42580</v>
      </c>
      <c r="B116" s="6">
        <v>4.1500000000000002E-2</v>
      </c>
      <c r="C116" s="7">
        <v>2.4685894074969825E-2</v>
      </c>
    </row>
    <row r="117" spans="1:3" x14ac:dyDescent="0.25">
      <c r="A117" s="1">
        <v>42613</v>
      </c>
      <c r="B117" s="6">
        <v>-1.2999999999999999E-3</v>
      </c>
      <c r="C117" s="7">
        <v>-7.7101185520061155E-3</v>
      </c>
    </row>
    <row r="118" spans="1:3" x14ac:dyDescent="0.25">
      <c r="A118" s="1">
        <v>42643</v>
      </c>
      <c r="B118" s="6">
        <v>3.5999999999999999E-3</v>
      </c>
      <c r="C118" s="7">
        <v>1.4650361417923171E-2</v>
      </c>
    </row>
    <row r="119" spans="1:3" x14ac:dyDescent="0.25">
      <c r="A119" s="1">
        <v>42674</v>
      </c>
      <c r="B119" s="6">
        <v>-2.0099999999999996E-2</v>
      </c>
      <c r="C119" s="7">
        <v>-2.3169187410192436E-3</v>
      </c>
    </row>
    <row r="120" spans="1:3" x14ac:dyDescent="0.25">
      <c r="A120" s="1">
        <v>42704</v>
      </c>
      <c r="B120" s="6">
        <v>1.2500000000000001E-2</v>
      </c>
      <c r="C120" s="7">
        <v>7.9016548443956072E-2</v>
      </c>
    </row>
    <row r="121" spans="1:3" x14ac:dyDescent="0.25">
      <c r="A121" s="1">
        <v>42734</v>
      </c>
      <c r="B121" s="6">
        <v>2.29E-2</v>
      </c>
      <c r="C121" s="7">
        <v>4.7251736365653231E-3</v>
      </c>
    </row>
    <row r="122" spans="1:3" x14ac:dyDescent="0.25">
      <c r="A122" s="1">
        <v>42766</v>
      </c>
      <c r="B122" s="6">
        <v>2.35E-2</v>
      </c>
      <c r="C122" s="7">
        <v>2.5929133863721743E-2</v>
      </c>
    </row>
    <row r="123" spans="1:3" x14ac:dyDescent="0.25">
      <c r="A123" s="1">
        <v>42794</v>
      </c>
      <c r="B123" s="6">
        <v>2.58E-2</v>
      </c>
      <c r="C123" s="7">
        <v>4.0429557087593687E-2</v>
      </c>
    </row>
    <row r="124" spans="1:3" x14ac:dyDescent="0.25">
      <c r="A124" s="1">
        <v>42825</v>
      </c>
      <c r="B124" s="6">
        <v>8.199999999999999E-3</v>
      </c>
      <c r="C124" s="7">
        <v>1.0163320802614687E-2</v>
      </c>
    </row>
    <row r="125" spans="1:3" x14ac:dyDescent="0.25">
      <c r="A125" s="1">
        <v>42855</v>
      </c>
      <c r="B125" s="6">
        <v>1.3300000000000001E-2</v>
      </c>
      <c r="C125" s="7">
        <v>1.4234576699238156E-2</v>
      </c>
    </row>
    <row r="126" spans="1:3" x14ac:dyDescent="0.25">
      <c r="A126" s="1">
        <v>42886</v>
      </c>
      <c r="B126" s="6">
        <v>1.78E-2</v>
      </c>
      <c r="C126" s="7">
        <v>-2.2983597611342794E-2</v>
      </c>
    </row>
    <row r="127" spans="1:3" x14ac:dyDescent="0.25">
      <c r="A127" s="1">
        <v>42916</v>
      </c>
      <c r="B127" s="6">
        <v>2.5000000000000001E-3</v>
      </c>
      <c r="C127" s="7">
        <v>-1.6784430093680393E-2</v>
      </c>
    </row>
    <row r="128" spans="1:3" x14ac:dyDescent="0.25">
      <c r="A128" s="1">
        <v>42947</v>
      </c>
      <c r="B128" s="6">
        <v>2.3300000000000001E-2</v>
      </c>
      <c r="C128" s="7">
        <v>-5.1500964248138072E-3</v>
      </c>
    </row>
    <row r="129" spans="1:3" x14ac:dyDescent="0.25">
      <c r="A129" s="1">
        <v>42978</v>
      </c>
      <c r="B129" s="6">
        <v>-7.000000000000001E-4</v>
      </c>
      <c r="C129" s="7">
        <v>6.4120004744814163E-2</v>
      </c>
    </row>
    <row r="130" spans="1:3" x14ac:dyDescent="0.25">
      <c r="A130" s="1">
        <v>43008</v>
      </c>
      <c r="B130" s="6">
        <v>2.0799999999999999E-2</v>
      </c>
      <c r="C130" s="7">
        <v>3.1235039590833992E-2</v>
      </c>
    </row>
    <row r="131" spans="1:3" x14ac:dyDescent="0.25">
      <c r="A131" s="1">
        <v>43039</v>
      </c>
      <c r="B131" s="6">
        <v>1.8100000000000002E-2</v>
      </c>
      <c r="C131" s="7">
        <v>-1.5540175465712427E-2</v>
      </c>
    </row>
    <row r="132" spans="1:3" x14ac:dyDescent="0.25">
      <c r="A132" s="1">
        <v>43069</v>
      </c>
      <c r="B132" s="6">
        <v>1.9900000000000001E-2</v>
      </c>
      <c r="C132" s="7">
        <v>-8.1650015717633188E-3</v>
      </c>
    </row>
    <row r="133" spans="1:3" x14ac:dyDescent="0.25">
      <c r="A133" s="1">
        <v>43100</v>
      </c>
      <c r="B133" s="6">
        <v>1.26E-2</v>
      </c>
      <c r="C133" s="7">
        <v>0</v>
      </c>
    </row>
    <row r="151" spans="9:9" ht="15.75" thickBot="1" x14ac:dyDescent="0.3"/>
    <row r="152" spans="9:9" x14ac:dyDescent="0.25">
      <c r="I152" s="15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3"/>
  <sheetViews>
    <sheetView topLeftCell="A115" workbookViewId="0"/>
  </sheetViews>
  <sheetFormatPr defaultColWidth="11.42578125" defaultRowHeight="15" x14ac:dyDescent="0.25"/>
  <cols>
    <col min="1" max="1" width="11.42578125" style="4"/>
    <col min="2" max="2" width="11.42578125" style="2"/>
  </cols>
  <sheetData>
    <row r="1" spans="1:2" s="17" customFormat="1" ht="47.25" x14ac:dyDescent="0.25">
      <c r="A1" s="16" t="s">
        <v>0</v>
      </c>
      <c r="B1" s="18" t="s">
        <v>6</v>
      </c>
    </row>
    <row r="2" spans="1:2" x14ac:dyDescent="0.25">
      <c r="A2" s="14">
        <v>39083</v>
      </c>
      <c r="B2" s="2">
        <v>3.966666666666667E-3</v>
      </c>
    </row>
    <row r="3" spans="1:2" x14ac:dyDescent="0.25">
      <c r="A3" s="14">
        <v>39114</v>
      </c>
      <c r="B3" s="2">
        <v>3.933333333333333E-3</v>
      </c>
    </row>
    <row r="4" spans="1:2" x14ac:dyDescent="0.25">
      <c r="A4" s="14">
        <v>39142</v>
      </c>
      <c r="B4" s="2">
        <v>3.8E-3</v>
      </c>
    </row>
    <row r="5" spans="1:2" x14ac:dyDescent="0.25">
      <c r="A5" s="14">
        <v>39173</v>
      </c>
      <c r="B5" s="2">
        <v>3.9083333333333331E-3</v>
      </c>
    </row>
    <row r="6" spans="1:2" x14ac:dyDescent="0.25">
      <c r="A6" s="14">
        <v>39203</v>
      </c>
      <c r="B6" s="2">
        <v>3.9583333333333337E-3</v>
      </c>
    </row>
    <row r="7" spans="1:2" x14ac:dyDescent="0.25">
      <c r="A7" s="14">
        <v>39234</v>
      </c>
      <c r="B7" s="2">
        <v>4.2583333333333336E-3</v>
      </c>
    </row>
    <row r="8" spans="1:2" x14ac:dyDescent="0.25">
      <c r="A8" s="14">
        <v>39264</v>
      </c>
      <c r="B8" s="2">
        <v>4.1666666666666666E-3</v>
      </c>
    </row>
    <row r="9" spans="1:2" x14ac:dyDescent="0.25">
      <c r="A9" s="14">
        <v>39295</v>
      </c>
      <c r="B9" s="2">
        <v>3.8916666666666665E-3</v>
      </c>
    </row>
    <row r="10" spans="1:2" x14ac:dyDescent="0.25">
      <c r="A10" s="14">
        <v>39326</v>
      </c>
      <c r="B10" s="2">
        <v>3.7666666666666664E-3</v>
      </c>
    </row>
    <row r="11" spans="1:2" x14ac:dyDescent="0.25">
      <c r="A11" s="14">
        <v>39356</v>
      </c>
      <c r="B11" s="2">
        <v>3.7750000000000001E-3</v>
      </c>
    </row>
    <row r="12" spans="1:2" x14ac:dyDescent="0.25">
      <c r="A12" s="14">
        <v>39387</v>
      </c>
      <c r="B12" s="2">
        <v>3.4499999999999999E-3</v>
      </c>
    </row>
    <row r="13" spans="1:2" x14ac:dyDescent="0.25">
      <c r="A13" s="14">
        <v>39417</v>
      </c>
      <c r="B13" s="2">
        <v>3.4166666666666668E-3</v>
      </c>
    </row>
    <row r="14" spans="1:2" x14ac:dyDescent="0.25">
      <c r="A14" s="14">
        <v>39448</v>
      </c>
      <c r="B14" s="2">
        <v>3.1166666666666669E-3</v>
      </c>
    </row>
    <row r="15" spans="1:2" x14ac:dyDescent="0.25">
      <c r="A15" s="14">
        <v>39479</v>
      </c>
      <c r="B15" s="2">
        <v>3.1166666666666669E-3</v>
      </c>
    </row>
    <row r="16" spans="1:2" x14ac:dyDescent="0.25">
      <c r="A16" s="14">
        <v>39508</v>
      </c>
      <c r="B16" s="2">
        <v>2.9250000000000001E-3</v>
      </c>
    </row>
    <row r="17" spans="1:2" x14ac:dyDescent="0.25">
      <c r="A17" s="14">
        <v>39539</v>
      </c>
      <c r="B17" s="2">
        <v>3.0666666666666668E-3</v>
      </c>
    </row>
    <row r="18" spans="1:2" x14ac:dyDescent="0.25">
      <c r="A18" s="14">
        <v>39569</v>
      </c>
      <c r="B18" s="2">
        <v>3.2333333333333333E-3</v>
      </c>
    </row>
    <row r="19" spans="1:2" x14ac:dyDescent="0.25">
      <c r="A19" s="14">
        <v>39600</v>
      </c>
      <c r="B19" s="2">
        <v>3.4166666666666668E-3</v>
      </c>
    </row>
    <row r="20" spans="1:2" x14ac:dyDescent="0.25">
      <c r="A20" s="14">
        <v>39630</v>
      </c>
      <c r="B20" s="2">
        <v>3.3416666666666664E-3</v>
      </c>
    </row>
    <row r="21" spans="1:2" x14ac:dyDescent="0.25">
      <c r="A21" s="14">
        <v>39661</v>
      </c>
      <c r="B21" s="2">
        <v>3.2333333333333333E-3</v>
      </c>
    </row>
    <row r="22" spans="1:2" x14ac:dyDescent="0.25">
      <c r="A22" s="14">
        <v>39692</v>
      </c>
      <c r="B22" s="2">
        <v>3.075E-3</v>
      </c>
    </row>
    <row r="23" spans="1:2" x14ac:dyDescent="0.25">
      <c r="A23" s="14">
        <v>39722</v>
      </c>
      <c r="B23" s="2">
        <v>3.1833333333333332E-3</v>
      </c>
    </row>
    <row r="24" spans="1:2" x14ac:dyDescent="0.25">
      <c r="A24" s="14">
        <v>39753</v>
      </c>
      <c r="B24" s="2">
        <v>2.9416666666666666E-3</v>
      </c>
    </row>
    <row r="25" spans="1:2" x14ac:dyDescent="0.25">
      <c r="A25" s="14">
        <v>39783</v>
      </c>
      <c r="B25" s="2">
        <v>2E-3</v>
      </c>
    </row>
    <row r="26" spans="1:2" x14ac:dyDescent="0.25">
      <c r="A26" s="14">
        <v>39814</v>
      </c>
      <c r="B26" s="2">
        <v>2.0999999999999999E-3</v>
      </c>
    </row>
    <row r="27" spans="1:2" x14ac:dyDescent="0.25">
      <c r="A27" s="14">
        <v>39845</v>
      </c>
      <c r="B27" s="2">
        <v>2.3916666666666665E-3</v>
      </c>
    </row>
    <row r="28" spans="1:2" x14ac:dyDescent="0.25">
      <c r="A28" s="14">
        <v>39873</v>
      </c>
      <c r="B28" s="2">
        <v>2.3500000000000001E-3</v>
      </c>
    </row>
    <row r="29" spans="1:2" x14ac:dyDescent="0.25">
      <c r="A29" s="14">
        <v>39904</v>
      </c>
      <c r="B29" s="2">
        <v>2.4499999999999999E-3</v>
      </c>
    </row>
    <row r="30" spans="1:2" x14ac:dyDescent="0.25">
      <c r="A30" s="14">
        <v>39934</v>
      </c>
      <c r="B30" s="2">
        <v>2.7500000000000003E-3</v>
      </c>
    </row>
    <row r="31" spans="1:2" x14ac:dyDescent="0.25">
      <c r="A31" s="14">
        <v>39965</v>
      </c>
      <c r="B31" s="2">
        <v>3.0999999999999999E-3</v>
      </c>
    </row>
    <row r="32" spans="1:2" x14ac:dyDescent="0.25">
      <c r="A32" s="14">
        <v>39995</v>
      </c>
      <c r="B32" s="2">
        <v>2.9666666666666665E-3</v>
      </c>
    </row>
    <row r="33" spans="1:2" x14ac:dyDescent="0.25">
      <c r="A33" s="14">
        <v>40026</v>
      </c>
      <c r="B33" s="2">
        <v>2.9916666666666668E-3</v>
      </c>
    </row>
    <row r="34" spans="1:2" x14ac:dyDescent="0.25">
      <c r="A34" s="14">
        <v>40057</v>
      </c>
      <c r="B34" s="2">
        <v>2.8333333333333335E-3</v>
      </c>
    </row>
    <row r="35" spans="1:2" x14ac:dyDescent="0.25">
      <c r="A35" s="14">
        <v>40087</v>
      </c>
      <c r="B35" s="2">
        <v>2.8333333333333335E-3</v>
      </c>
    </row>
    <row r="36" spans="1:2" x14ac:dyDescent="0.25">
      <c r="A36" s="14">
        <v>40118</v>
      </c>
      <c r="B36" s="2">
        <v>2.8333333333333335E-3</v>
      </c>
    </row>
    <row r="37" spans="1:2" x14ac:dyDescent="0.25">
      <c r="A37" s="14">
        <v>40148</v>
      </c>
      <c r="B37" s="2">
        <v>2.9999999999999996E-3</v>
      </c>
    </row>
    <row r="38" spans="1:2" x14ac:dyDescent="0.25">
      <c r="A38" s="14">
        <v>40179</v>
      </c>
      <c r="B38" s="2">
        <v>3.1083333333333332E-3</v>
      </c>
    </row>
    <row r="39" spans="1:2" x14ac:dyDescent="0.25">
      <c r="A39" s="14">
        <v>40210</v>
      </c>
      <c r="B39" s="2">
        <v>3.075E-3</v>
      </c>
    </row>
    <row r="40" spans="1:2" x14ac:dyDescent="0.25">
      <c r="A40" s="14">
        <v>40238</v>
      </c>
      <c r="B40" s="2">
        <v>3.1083333333333332E-3</v>
      </c>
    </row>
    <row r="41" spans="1:2" x14ac:dyDescent="0.25">
      <c r="A41" s="14">
        <v>40269</v>
      </c>
      <c r="B41" s="2">
        <v>3.2083333333333334E-3</v>
      </c>
    </row>
    <row r="42" spans="1:2" x14ac:dyDescent="0.25">
      <c r="A42" s="14">
        <v>40299</v>
      </c>
      <c r="B42" s="2">
        <v>2.8500000000000001E-3</v>
      </c>
    </row>
    <row r="43" spans="1:2" x14ac:dyDescent="0.25">
      <c r="A43" s="14">
        <v>40330</v>
      </c>
      <c r="B43" s="2">
        <v>2.6666666666666666E-3</v>
      </c>
    </row>
    <row r="44" spans="1:2" x14ac:dyDescent="0.25">
      <c r="A44" s="14">
        <v>40360</v>
      </c>
      <c r="B44" s="2">
        <v>2.5083333333333333E-3</v>
      </c>
    </row>
    <row r="45" spans="1:2" x14ac:dyDescent="0.25">
      <c r="A45" s="14">
        <v>40391</v>
      </c>
      <c r="B45" s="2">
        <v>2.2499999999999998E-3</v>
      </c>
    </row>
    <row r="46" spans="1:2" x14ac:dyDescent="0.25">
      <c r="A46" s="14">
        <v>40422</v>
      </c>
      <c r="B46" s="2">
        <v>2.2083333333333334E-3</v>
      </c>
    </row>
    <row r="47" spans="1:2" x14ac:dyDescent="0.25">
      <c r="A47" s="14">
        <v>40452</v>
      </c>
      <c r="B47" s="2">
        <v>2.1166666666666664E-3</v>
      </c>
    </row>
    <row r="48" spans="1:2" x14ac:dyDescent="0.25">
      <c r="A48" s="14">
        <v>40483</v>
      </c>
      <c r="B48" s="2">
        <v>2.3083333333333332E-3</v>
      </c>
    </row>
    <row r="49" spans="1:2" x14ac:dyDescent="0.25">
      <c r="A49" s="14">
        <v>40513</v>
      </c>
      <c r="B49" s="2">
        <v>2.7583333333333331E-3</v>
      </c>
    </row>
    <row r="50" spans="1:2" x14ac:dyDescent="0.25">
      <c r="A50" s="14">
        <v>40544</v>
      </c>
      <c r="B50" s="2">
        <v>2.8249999999999998E-3</v>
      </c>
    </row>
    <row r="51" spans="1:2" x14ac:dyDescent="0.25">
      <c r="A51" s="14">
        <v>40575</v>
      </c>
      <c r="B51" s="2">
        <v>2.9833333333333331E-3</v>
      </c>
    </row>
    <row r="52" spans="1:2" x14ac:dyDescent="0.25">
      <c r="A52" s="14">
        <v>40603</v>
      </c>
      <c r="B52" s="2">
        <v>2.8416666666666664E-3</v>
      </c>
    </row>
    <row r="53" spans="1:2" x14ac:dyDescent="0.25">
      <c r="A53" s="14">
        <v>40634</v>
      </c>
      <c r="B53" s="2">
        <v>2.8750000000000004E-3</v>
      </c>
    </row>
    <row r="54" spans="1:2" x14ac:dyDescent="0.25">
      <c r="A54" s="14">
        <v>40664</v>
      </c>
      <c r="B54" s="2">
        <v>2.6416666666666667E-3</v>
      </c>
    </row>
    <row r="55" spans="1:2" x14ac:dyDescent="0.25">
      <c r="A55" s="14">
        <v>40695</v>
      </c>
      <c r="B55" s="2">
        <v>2.5000000000000001E-3</v>
      </c>
    </row>
    <row r="56" spans="1:2" x14ac:dyDescent="0.25">
      <c r="A56" s="14">
        <v>40725</v>
      </c>
      <c r="B56" s="2">
        <v>2.4916666666666668E-3</v>
      </c>
    </row>
    <row r="57" spans="1:2" x14ac:dyDescent="0.25">
      <c r="A57" s="14">
        <v>40756</v>
      </c>
      <c r="B57" s="2">
        <v>1.9E-3</v>
      </c>
    </row>
    <row r="58" spans="1:2" x14ac:dyDescent="0.25">
      <c r="A58" s="14">
        <v>40787</v>
      </c>
      <c r="B58" s="2">
        <v>1.6416666666666665E-3</v>
      </c>
    </row>
    <row r="59" spans="1:2" x14ac:dyDescent="0.25">
      <c r="A59" s="14">
        <v>40817</v>
      </c>
      <c r="B59" s="2">
        <v>1.7916666666666665E-3</v>
      </c>
    </row>
    <row r="60" spans="1:2" x14ac:dyDescent="0.25">
      <c r="A60" s="14">
        <v>40848</v>
      </c>
      <c r="B60" s="2">
        <v>1.6750000000000001E-3</v>
      </c>
    </row>
    <row r="61" spans="1:2" x14ac:dyDescent="0.25">
      <c r="A61" s="14">
        <v>40878</v>
      </c>
      <c r="B61" s="2">
        <v>1.6416666666666665E-3</v>
      </c>
    </row>
    <row r="62" spans="1:2" x14ac:dyDescent="0.25">
      <c r="A62" s="14">
        <v>40909</v>
      </c>
      <c r="B62" s="2">
        <v>1.6416666666666665E-3</v>
      </c>
    </row>
    <row r="63" spans="1:2" x14ac:dyDescent="0.25">
      <c r="A63" s="14">
        <v>40940</v>
      </c>
      <c r="B63" s="2">
        <v>1.6416666666666665E-3</v>
      </c>
    </row>
    <row r="64" spans="1:2" x14ac:dyDescent="0.25">
      <c r="A64" s="14">
        <v>40969</v>
      </c>
      <c r="B64" s="2">
        <v>1.8166666666666667E-3</v>
      </c>
    </row>
    <row r="65" spans="1:2" x14ac:dyDescent="0.25">
      <c r="A65" s="14">
        <v>41000</v>
      </c>
      <c r="B65" s="2">
        <v>1.7083333333333334E-3</v>
      </c>
    </row>
    <row r="66" spans="1:2" x14ac:dyDescent="0.25">
      <c r="A66" s="14">
        <v>41030</v>
      </c>
      <c r="B66" s="2">
        <v>1.4999999999999998E-3</v>
      </c>
    </row>
    <row r="67" spans="1:2" x14ac:dyDescent="0.25">
      <c r="A67" s="14">
        <v>41061</v>
      </c>
      <c r="B67" s="2">
        <v>1.3583333333333331E-3</v>
      </c>
    </row>
    <row r="68" spans="1:2" x14ac:dyDescent="0.25">
      <c r="A68" s="14">
        <v>41091</v>
      </c>
      <c r="B68" s="2">
        <v>1.2749999999999999E-3</v>
      </c>
    </row>
    <row r="69" spans="1:2" x14ac:dyDescent="0.25">
      <c r="A69" s="14">
        <v>41122</v>
      </c>
      <c r="B69" s="2">
        <v>1.4E-3</v>
      </c>
    </row>
    <row r="70" spans="1:2" x14ac:dyDescent="0.25">
      <c r="A70" s="14">
        <v>41153</v>
      </c>
      <c r="B70" s="2">
        <v>1.4333333333333333E-3</v>
      </c>
    </row>
    <row r="71" spans="1:2" x14ac:dyDescent="0.25">
      <c r="A71" s="14">
        <v>41183</v>
      </c>
      <c r="B71" s="2">
        <v>1.4583333333333334E-3</v>
      </c>
    </row>
    <row r="72" spans="1:2" x14ac:dyDescent="0.25">
      <c r="A72" s="14">
        <v>41214</v>
      </c>
      <c r="B72" s="2">
        <v>1.3750000000000001E-3</v>
      </c>
    </row>
    <row r="73" spans="1:2" x14ac:dyDescent="0.25">
      <c r="A73" s="14">
        <v>41244</v>
      </c>
      <c r="B73" s="2">
        <v>1.4333333333333333E-3</v>
      </c>
    </row>
    <row r="74" spans="1:2" x14ac:dyDescent="0.25">
      <c r="A74" s="14">
        <v>41275</v>
      </c>
      <c r="B74" s="2">
        <v>1.5916666666666666E-3</v>
      </c>
    </row>
    <row r="75" spans="1:2" x14ac:dyDescent="0.25">
      <c r="A75" s="14">
        <v>41306</v>
      </c>
      <c r="B75" s="2">
        <v>1.6500000000000002E-3</v>
      </c>
    </row>
    <row r="76" spans="1:2" x14ac:dyDescent="0.25">
      <c r="A76" s="14">
        <v>41334</v>
      </c>
      <c r="B76" s="2">
        <v>1.6333333333333332E-3</v>
      </c>
    </row>
    <row r="77" spans="1:2" x14ac:dyDescent="0.25">
      <c r="A77" s="14">
        <v>41365</v>
      </c>
      <c r="B77" s="2">
        <v>1.4583333333333334E-3</v>
      </c>
    </row>
    <row r="78" spans="1:2" x14ac:dyDescent="0.25">
      <c r="A78" s="14">
        <v>41395</v>
      </c>
      <c r="B78" s="2">
        <v>1.6166666666666666E-3</v>
      </c>
    </row>
    <row r="79" spans="1:2" x14ac:dyDescent="0.25">
      <c r="A79" s="14">
        <v>41426</v>
      </c>
      <c r="B79" s="2">
        <v>1.9166666666666666E-3</v>
      </c>
    </row>
    <row r="80" spans="1:2" x14ac:dyDescent="0.25">
      <c r="A80" s="14">
        <v>41456</v>
      </c>
      <c r="B80" s="2">
        <v>2.1583333333333333E-3</v>
      </c>
    </row>
    <row r="81" spans="1:2" x14ac:dyDescent="0.25">
      <c r="A81" s="14">
        <v>41487</v>
      </c>
      <c r="B81" s="2">
        <v>2.2833333333333334E-3</v>
      </c>
    </row>
    <row r="82" spans="1:2" x14ac:dyDescent="0.25">
      <c r="A82" s="14">
        <v>41518</v>
      </c>
      <c r="B82" s="2">
        <v>2.3416666666666668E-3</v>
      </c>
    </row>
    <row r="83" spans="1:2" x14ac:dyDescent="0.25">
      <c r="A83" s="14">
        <v>41548</v>
      </c>
      <c r="B83" s="2">
        <v>2.1750000000000003E-3</v>
      </c>
    </row>
    <row r="84" spans="1:2" x14ac:dyDescent="0.25">
      <c r="A84" s="14">
        <v>41579</v>
      </c>
      <c r="B84" s="2">
        <v>2.2666666666666664E-3</v>
      </c>
    </row>
    <row r="85" spans="1:2" x14ac:dyDescent="0.25">
      <c r="A85" s="14">
        <v>41609</v>
      </c>
      <c r="B85" s="2">
        <v>2.4166666666666668E-3</v>
      </c>
    </row>
    <row r="86" spans="1:2" x14ac:dyDescent="0.25">
      <c r="A86" s="14">
        <v>41640</v>
      </c>
      <c r="B86" s="2">
        <v>2.3833333333333332E-3</v>
      </c>
    </row>
    <row r="87" spans="1:2" x14ac:dyDescent="0.25">
      <c r="A87" s="14">
        <v>41671</v>
      </c>
      <c r="B87" s="2">
        <v>2.2583333333333331E-3</v>
      </c>
    </row>
    <row r="88" spans="1:2" x14ac:dyDescent="0.25">
      <c r="A88" s="14">
        <v>41699</v>
      </c>
      <c r="B88" s="2">
        <v>2.2666666666666664E-3</v>
      </c>
    </row>
    <row r="89" spans="1:2" x14ac:dyDescent="0.25">
      <c r="A89" s="14">
        <v>41730</v>
      </c>
      <c r="B89" s="2">
        <v>2.2499999999999998E-3</v>
      </c>
    </row>
    <row r="90" spans="1:2" x14ac:dyDescent="0.25">
      <c r="A90" s="14">
        <v>41760</v>
      </c>
      <c r="B90" s="2">
        <v>2.1333333333333334E-3</v>
      </c>
    </row>
    <row r="91" spans="1:2" x14ac:dyDescent="0.25">
      <c r="A91" s="14">
        <v>41791</v>
      </c>
      <c r="B91" s="2">
        <v>2.1666666666666666E-3</v>
      </c>
    </row>
    <row r="92" spans="1:2" x14ac:dyDescent="0.25">
      <c r="A92" s="14">
        <v>41821</v>
      </c>
      <c r="B92" s="2">
        <v>2.1249999999999997E-3</v>
      </c>
    </row>
    <row r="93" spans="1:2" x14ac:dyDescent="0.25">
      <c r="A93" s="14">
        <v>41852</v>
      </c>
      <c r="B93" s="2">
        <v>2.0166666666666666E-3</v>
      </c>
    </row>
    <row r="94" spans="1:2" x14ac:dyDescent="0.25">
      <c r="A94" s="14">
        <v>41883</v>
      </c>
      <c r="B94" s="2">
        <v>2.1083333333333332E-3</v>
      </c>
    </row>
    <row r="95" spans="1:2" x14ac:dyDescent="0.25">
      <c r="A95" s="14">
        <v>41913</v>
      </c>
      <c r="B95" s="2">
        <v>1.9166666666666666E-3</v>
      </c>
    </row>
    <row r="96" spans="1:2" x14ac:dyDescent="0.25">
      <c r="A96" s="14">
        <v>41944</v>
      </c>
      <c r="B96" s="2">
        <v>1.9416666666666668E-3</v>
      </c>
    </row>
    <row r="97" spans="1:2" x14ac:dyDescent="0.25">
      <c r="A97" s="14">
        <v>41974</v>
      </c>
      <c r="B97" s="2">
        <v>1.8416666666666668E-3</v>
      </c>
    </row>
    <row r="98" spans="1:2" x14ac:dyDescent="0.25">
      <c r="A98" s="14">
        <v>42005</v>
      </c>
      <c r="B98" s="2">
        <v>1.5666666666666667E-3</v>
      </c>
    </row>
    <row r="99" spans="1:2" x14ac:dyDescent="0.25">
      <c r="A99" s="14">
        <v>42036</v>
      </c>
      <c r="B99" s="2">
        <v>1.6416666666666665E-3</v>
      </c>
    </row>
    <row r="100" spans="1:2" x14ac:dyDescent="0.25">
      <c r="A100" s="14">
        <v>42064</v>
      </c>
      <c r="B100" s="2">
        <v>1.7000000000000001E-3</v>
      </c>
    </row>
    <row r="101" spans="1:2" x14ac:dyDescent="0.25">
      <c r="A101" s="14">
        <v>42095</v>
      </c>
      <c r="B101" s="2">
        <v>1.6083333333333334E-3</v>
      </c>
    </row>
    <row r="102" spans="1:2" x14ac:dyDescent="0.25">
      <c r="A102" s="14">
        <v>42125</v>
      </c>
      <c r="B102" s="2">
        <v>1.8333333333333333E-3</v>
      </c>
    </row>
    <row r="103" spans="1:2" x14ac:dyDescent="0.25">
      <c r="A103" s="14">
        <v>42156</v>
      </c>
      <c r="B103" s="2">
        <v>1.9666666666666665E-3</v>
      </c>
    </row>
    <row r="104" spans="1:2" x14ac:dyDescent="0.25">
      <c r="A104" s="14">
        <v>42186</v>
      </c>
      <c r="B104" s="2">
        <v>1.9333333333333331E-3</v>
      </c>
    </row>
    <row r="105" spans="1:2" x14ac:dyDescent="0.25">
      <c r="A105" s="14">
        <v>42217</v>
      </c>
      <c r="B105" s="2">
        <v>1.8083333333333335E-3</v>
      </c>
    </row>
    <row r="106" spans="1:2" x14ac:dyDescent="0.25">
      <c r="A106" s="14">
        <v>42248</v>
      </c>
      <c r="B106" s="2">
        <v>1.8083333333333335E-3</v>
      </c>
    </row>
    <row r="107" spans="1:2" x14ac:dyDescent="0.25">
      <c r="A107" s="14">
        <v>42278</v>
      </c>
      <c r="B107" s="2">
        <v>1.725E-3</v>
      </c>
    </row>
    <row r="108" spans="1:2" x14ac:dyDescent="0.25">
      <c r="A108" s="14">
        <v>42309</v>
      </c>
      <c r="B108" s="2">
        <v>1.8833333333333332E-3</v>
      </c>
    </row>
    <row r="109" spans="1:2" x14ac:dyDescent="0.25">
      <c r="A109" s="14">
        <v>42339</v>
      </c>
      <c r="B109" s="2">
        <v>1.8666666666666666E-3</v>
      </c>
    </row>
    <row r="110" spans="1:2" x14ac:dyDescent="0.25">
      <c r="A110" s="14">
        <v>42370</v>
      </c>
      <c r="B110" s="2">
        <v>1.7416666666666665E-3</v>
      </c>
    </row>
    <row r="111" spans="1:2" x14ac:dyDescent="0.25">
      <c r="A111" s="14">
        <v>42401</v>
      </c>
      <c r="B111" s="2">
        <v>1.4833333333333332E-3</v>
      </c>
    </row>
    <row r="112" spans="1:2" x14ac:dyDescent="0.25">
      <c r="A112" s="14">
        <v>42430</v>
      </c>
      <c r="B112" s="2">
        <v>1.575E-3</v>
      </c>
    </row>
    <row r="113" spans="1:2" x14ac:dyDescent="0.25">
      <c r="A113" s="14">
        <v>42461</v>
      </c>
      <c r="B113" s="2">
        <v>1.5083333333333335E-3</v>
      </c>
    </row>
    <row r="114" spans="1:2" x14ac:dyDescent="0.25">
      <c r="A114" s="14">
        <v>42491</v>
      </c>
      <c r="B114" s="2">
        <v>1.5083333333333335E-3</v>
      </c>
    </row>
    <row r="115" spans="1:2" x14ac:dyDescent="0.25">
      <c r="A115" s="14">
        <v>42522</v>
      </c>
      <c r="B115" s="2">
        <v>1.3666666666666669E-3</v>
      </c>
    </row>
    <row r="116" spans="1:2" x14ac:dyDescent="0.25">
      <c r="A116" s="14">
        <v>42552</v>
      </c>
      <c r="B116" s="2">
        <v>1.25E-3</v>
      </c>
    </row>
    <row r="117" spans="1:2" x14ac:dyDescent="0.25">
      <c r="A117" s="14">
        <v>42583</v>
      </c>
      <c r="B117" s="2">
        <v>1.2999999999999999E-3</v>
      </c>
    </row>
    <row r="118" spans="1:2" x14ac:dyDescent="0.25">
      <c r="A118" s="14">
        <v>42614</v>
      </c>
      <c r="B118" s="2">
        <v>1.3583333333333331E-3</v>
      </c>
    </row>
    <row r="119" spans="1:2" x14ac:dyDescent="0.25">
      <c r="A119" s="14">
        <v>42644</v>
      </c>
      <c r="B119" s="2">
        <v>1.4666666666666667E-3</v>
      </c>
    </row>
    <row r="120" spans="1:2" x14ac:dyDescent="0.25">
      <c r="A120" s="14">
        <v>42675</v>
      </c>
      <c r="B120" s="2">
        <v>1.7833333333333332E-3</v>
      </c>
    </row>
    <row r="121" spans="1:2" x14ac:dyDescent="0.25">
      <c r="A121" s="14">
        <v>42705</v>
      </c>
      <c r="B121" s="2">
        <v>2.075E-3</v>
      </c>
    </row>
    <row r="122" spans="1:2" x14ac:dyDescent="0.25">
      <c r="A122" s="14">
        <v>42736</v>
      </c>
      <c r="B122" s="2">
        <v>2.0249999999999999E-3</v>
      </c>
    </row>
    <row r="123" spans="1:2" x14ac:dyDescent="0.25">
      <c r="A123" s="14">
        <v>42767</v>
      </c>
      <c r="B123" s="2">
        <v>2.0166666666666666E-3</v>
      </c>
    </row>
    <row r="124" spans="1:2" x14ac:dyDescent="0.25">
      <c r="A124" s="14">
        <v>42795</v>
      </c>
      <c r="B124" s="2">
        <v>2.0666666666666667E-3</v>
      </c>
    </row>
    <row r="125" spans="1:2" x14ac:dyDescent="0.25">
      <c r="A125" s="14">
        <v>42826</v>
      </c>
      <c r="B125" s="2">
        <v>1.8166666666666667E-3</v>
      </c>
    </row>
    <row r="126" spans="1:2" x14ac:dyDescent="0.25">
      <c r="A126" s="14">
        <v>42856</v>
      </c>
      <c r="B126" s="2">
        <v>1.9166666666666666E-3</v>
      </c>
    </row>
    <row r="127" spans="1:2" x14ac:dyDescent="0.25">
      <c r="A127" s="14">
        <v>42887</v>
      </c>
      <c r="B127" s="2">
        <v>1.825E-3</v>
      </c>
    </row>
    <row r="128" spans="1:2" x14ac:dyDescent="0.25">
      <c r="A128" s="14">
        <v>42917</v>
      </c>
      <c r="B128" s="2">
        <v>1.9333333333333331E-3</v>
      </c>
    </row>
    <row r="129" spans="1:2" x14ac:dyDescent="0.25">
      <c r="A129" s="14">
        <v>42948</v>
      </c>
      <c r="B129" s="2">
        <v>1.8416666666666668E-3</v>
      </c>
    </row>
    <row r="130" spans="1:2" x14ac:dyDescent="0.25">
      <c r="A130" s="14">
        <v>42979</v>
      </c>
      <c r="B130" s="2">
        <v>1.8333333333333333E-3</v>
      </c>
    </row>
    <row r="131" spans="1:2" x14ac:dyDescent="0.25">
      <c r="A131" s="14">
        <v>43009</v>
      </c>
      <c r="B131" s="2">
        <v>1.9666666666666665E-3</v>
      </c>
    </row>
    <row r="132" spans="1:2" x14ac:dyDescent="0.25">
      <c r="A132" s="14">
        <v>43040</v>
      </c>
      <c r="B132" s="2">
        <v>1.9583333333333332E-3</v>
      </c>
    </row>
    <row r="133" spans="1:2" x14ac:dyDescent="0.25">
      <c r="A133" s="14">
        <v>43070</v>
      </c>
      <c r="B133" s="2">
        <v>2E-3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34"/>
  <sheetViews>
    <sheetView zoomScale="85" zoomScaleNormal="85" workbookViewId="0">
      <selection activeCell="G2" sqref="G2:I133"/>
    </sheetView>
  </sheetViews>
  <sheetFormatPr defaultColWidth="11.42578125" defaultRowHeight="15" x14ac:dyDescent="0.25"/>
  <cols>
    <col min="2" max="2" width="17.85546875" style="4" customWidth="1"/>
    <col min="3" max="3" width="12.5703125" style="5" customWidth="1"/>
    <col min="4" max="5" width="11.42578125" style="10"/>
    <col min="7" max="7" width="18.7109375" customWidth="1"/>
    <col min="8" max="8" width="21" customWidth="1"/>
    <col min="9" max="9" width="22.28515625" customWidth="1"/>
  </cols>
  <sheetData>
    <row r="1" spans="1:9" x14ac:dyDescent="0.25">
      <c r="A1" s="8" t="s">
        <v>0</v>
      </c>
      <c r="B1" s="11" t="s">
        <v>4</v>
      </c>
      <c r="C1" s="12" t="s">
        <v>5</v>
      </c>
      <c r="D1" s="13" t="s">
        <v>3</v>
      </c>
      <c r="E1" s="19" t="s">
        <v>7</v>
      </c>
      <c r="G1" s="21" t="s">
        <v>8</v>
      </c>
      <c r="H1" s="21" t="s">
        <v>1</v>
      </c>
      <c r="I1" s="21" t="s">
        <v>2</v>
      </c>
    </row>
    <row r="2" spans="1:9" x14ac:dyDescent="0.25">
      <c r="A2" s="9">
        <v>39113</v>
      </c>
      <c r="B2" s="3">
        <v>8.0000000000000004E-4</v>
      </c>
      <c r="C2" s="6">
        <v>1.1200000000000002E-2</v>
      </c>
      <c r="D2" s="7">
        <v>-1.0851190139298538E-2</v>
      </c>
      <c r="E2" s="20">
        <f>'Risk-free_rate_monthly'!B2</f>
        <v>3.966666666666667E-3</v>
      </c>
      <c r="G2" s="2"/>
      <c r="H2" s="2"/>
      <c r="I2" s="2"/>
    </row>
    <row r="3" spans="1:9" x14ac:dyDescent="0.25">
      <c r="A3" s="9">
        <v>39141</v>
      </c>
      <c r="B3" s="3">
        <v>8.4099999999999994E-2</v>
      </c>
      <c r="C3" s="6">
        <v>-6.5000000000000006E-3</v>
      </c>
      <c r="D3" s="7">
        <v>3.0018858893998423E-2</v>
      </c>
      <c r="E3" s="20">
        <f>'Risk-free_rate_monthly'!B3</f>
        <v>3.933333333333333E-3</v>
      </c>
      <c r="G3" s="2"/>
      <c r="H3" s="2"/>
      <c r="I3" s="2"/>
    </row>
    <row r="4" spans="1:9" x14ac:dyDescent="0.25">
      <c r="A4" s="9">
        <v>39171</v>
      </c>
      <c r="B4" s="3">
        <v>0.2203</v>
      </c>
      <c r="C4" s="6">
        <v>1.5900000000000001E-2</v>
      </c>
      <c r="D4" s="7">
        <v>7.1105712608985197E-2</v>
      </c>
      <c r="E4" s="20">
        <f>'Risk-free_rate_monthly'!B4</f>
        <v>3.8E-3</v>
      </c>
      <c r="G4" s="2"/>
      <c r="H4" s="2"/>
      <c r="I4" s="2"/>
    </row>
    <row r="5" spans="1:9" x14ac:dyDescent="0.25">
      <c r="A5" s="9">
        <v>39202</v>
      </c>
      <c r="B5" s="3">
        <v>-2.9600000000000001E-2</v>
      </c>
      <c r="C5" s="6">
        <v>4.2099999999999999E-2</v>
      </c>
      <c r="D5" s="7">
        <v>6.4000301599564408E-2</v>
      </c>
      <c r="E5" s="20">
        <f>'Risk-free_rate_monthly'!B5</f>
        <v>3.9083333333333331E-3</v>
      </c>
      <c r="G5" s="2"/>
      <c r="H5" s="2"/>
      <c r="I5" s="2"/>
    </row>
    <row r="6" spans="1:9" x14ac:dyDescent="0.25">
      <c r="A6" s="9">
        <v>39233</v>
      </c>
      <c r="B6" s="3">
        <v>0.128</v>
      </c>
      <c r="C6" s="6">
        <v>2.4700000000000003E-2</v>
      </c>
      <c r="D6" s="7">
        <v>1.5765464133779179E-2</v>
      </c>
      <c r="E6" s="20">
        <f>'Risk-free_rate_monthly'!B6</f>
        <v>3.9583333333333337E-3</v>
      </c>
      <c r="G6" s="2"/>
      <c r="H6" s="2"/>
      <c r="I6" s="2"/>
    </row>
    <row r="7" spans="1:9" x14ac:dyDescent="0.25">
      <c r="A7" s="9">
        <v>39262</v>
      </c>
      <c r="B7" s="3">
        <v>3.5999999999999999E-3</v>
      </c>
      <c r="C7" s="6">
        <v>-9.0000000000000011E-3</v>
      </c>
      <c r="D7" s="7">
        <v>-5.2849105106507838E-2</v>
      </c>
      <c r="E7" s="20">
        <f>'Risk-free_rate_monthly'!B7</f>
        <v>4.2583333333333336E-3</v>
      </c>
      <c r="G7" s="2"/>
      <c r="H7" s="2"/>
      <c r="I7" s="2"/>
    </row>
    <row r="8" spans="1:9" x14ac:dyDescent="0.25">
      <c r="A8" s="9">
        <v>39294</v>
      </c>
      <c r="B8" s="3">
        <v>-2.1399999999999999E-2</v>
      </c>
      <c r="C8" s="6">
        <v>-2.2799999999999997E-2</v>
      </c>
      <c r="D8" s="7">
        <v>7.1240488735710341E-3</v>
      </c>
      <c r="E8" s="20">
        <f>'Risk-free_rate_monthly'!B8</f>
        <v>4.1666666666666666E-3</v>
      </c>
      <c r="G8" s="2"/>
      <c r="H8" s="2"/>
      <c r="I8" s="2"/>
    </row>
    <row r="9" spans="1:9" x14ac:dyDescent="0.25">
      <c r="A9" s="9">
        <v>39325</v>
      </c>
      <c r="B9" s="3">
        <v>-1.77E-2</v>
      </c>
      <c r="C9" s="6">
        <v>-2.7000000000000001E-3</v>
      </c>
      <c r="D9" s="7">
        <v>2.9239967987190332E-2</v>
      </c>
      <c r="E9" s="20">
        <f>'Risk-free_rate_monthly'!B9</f>
        <v>3.8916666666666665E-3</v>
      </c>
      <c r="G9" s="2"/>
      <c r="H9" s="2"/>
      <c r="I9" s="2"/>
    </row>
    <row r="10" spans="1:9" x14ac:dyDescent="0.25">
      <c r="A10" s="9">
        <v>39353</v>
      </c>
      <c r="B10" s="3">
        <v>9.7600000000000006E-2</v>
      </c>
      <c r="C10" s="6">
        <v>4.6100000000000002E-2</v>
      </c>
      <c r="D10" s="7">
        <v>2.0061089242943791E-2</v>
      </c>
      <c r="E10" s="20">
        <f>'Risk-free_rate_monthly'!B10</f>
        <v>3.7666666666666664E-3</v>
      </c>
      <c r="G10" s="2"/>
      <c r="H10" s="2"/>
      <c r="I10" s="2"/>
    </row>
    <row r="11" spans="1:9" x14ac:dyDescent="0.25">
      <c r="A11" s="9">
        <v>39386</v>
      </c>
      <c r="B11" s="3">
        <v>8.7400000000000005E-2</v>
      </c>
      <c r="C11" s="6">
        <v>2.9900000000000003E-2</v>
      </c>
      <c r="D11" s="7">
        <v>-1.8542974380707955E-2</v>
      </c>
      <c r="E11" s="20">
        <f>'Risk-free_rate_monthly'!B11</f>
        <v>3.7750000000000001E-3</v>
      </c>
      <c r="G11" s="2"/>
      <c r="H11" s="2"/>
      <c r="I11" s="2"/>
    </row>
    <row r="12" spans="1:9" x14ac:dyDescent="0.25">
      <c r="A12" s="9">
        <v>39416</v>
      </c>
      <c r="B12" s="3">
        <v>-6.3899999999999998E-2</v>
      </c>
      <c r="C12" s="6">
        <v>-4.24E-2</v>
      </c>
      <c r="D12" s="7">
        <v>2.5004676120498608E-2</v>
      </c>
      <c r="E12" s="20">
        <f>'Risk-free_rate_monthly'!B12</f>
        <v>3.4499999999999999E-3</v>
      </c>
      <c r="G12" s="2"/>
      <c r="H12" s="2"/>
      <c r="I12" s="2"/>
    </row>
    <row r="13" spans="1:9" x14ac:dyDescent="0.25">
      <c r="A13" s="9">
        <v>39447</v>
      </c>
      <c r="B13" s="3">
        <v>-6.0299999999999999E-2</v>
      </c>
      <c r="C13" s="6">
        <v>-1.37E-2</v>
      </c>
      <c r="D13" s="7">
        <v>-0.15067827364222272</v>
      </c>
      <c r="E13" s="20">
        <f>'Risk-free_rate_monthly'!B13</f>
        <v>3.4166666666666668E-3</v>
      </c>
      <c r="G13" s="2"/>
      <c r="H13" s="2"/>
      <c r="I13" s="2"/>
    </row>
    <row r="14" spans="1:9" x14ac:dyDescent="0.25">
      <c r="A14" s="9">
        <v>39478</v>
      </c>
      <c r="B14" s="3">
        <v>-0.18890000000000001</v>
      </c>
      <c r="C14" s="6">
        <v>-7.7100000000000002E-2</v>
      </c>
      <c r="D14" s="7">
        <v>-1.5123160798336248E-2</v>
      </c>
      <c r="E14" s="20">
        <f>'Risk-free_rate_monthly'!B14</f>
        <v>3.1166666666666669E-3</v>
      </c>
      <c r="G14" s="2"/>
      <c r="H14" s="2"/>
      <c r="I14" s="2"/>
    </row>
    <row r="15" spans="1:9" x14ac:dyDescent="0.25">
      <c r="A15" s="9">
        <v>39507</v>
      </c>
      <c r="B15" s="3">
        <v>4.3299999999999998E-2</v>
      </c>
      <c r="C15" s="6">
        <v>-7.4000000000000003E-3</v>
      </c>
      <c r="D15" s="7">
        <v>-3.1587961656902114E-2</v>
      </c>
      <c r="E15" s="20">
        <f>'Risk-free_rate_monthly'!B15</f>
        <v>3.1166666666666669E-3</v>
      </c>
      <c r="G15" s="2"/>
      <c r="H15" s="2"/>
      <c r="I15" s="2"/>
    </row>
    <row r="16" spans="1:9" x14ac:dyDescent="0.25">
      <c r="A16" s="9">
        <v>39538</v>
      </c>
      <c r="B16" s="3">
        <v>1.2200000000000001E-2</v>
      </c>
      <c r="C16" s="6">
        <v>-1.2500000000000001E-2</v>
      </c>
      <c r="D16" s="7">
        <v>6.3328461398350813E-2</v>
      </c>
      <c r="E16" s="20">
        <f>'Risk-free_rate_monthly'!B16</f>
        <v>2.9250000000000001E-3</v>
      </c>
      <c r="G16" s="2"/>
      <c r="H16" s="2"/>
      <c r="I16" s="2"/>
    </row>
    <row r="17" spans="1:11" x14ac:dyDescent="0.25">
      <c r="A17" s="9">
        <v>39568</v>
      </c>
      <c r="B17" s="3">
        <v>-9.8000000000000004E-2</v>
      </c>
      <c r="C17" s="6">
        <v>4.9800000000000004E-2</v>
      </c>
      <c r="D17" s="7">
        <v>2.1294294390672961E-2</v>
      </c>
      <c r="E17" s="20">
        <f>'Risk-free_rate_monthly'!B17</f>
        <v>3.0666666666666668E-3</v>
      </c>
      <c r="G17" s="2"/>
      <c r="H17" s="2"/>
      <c r="I17" s="2"/>
    </row>
    <row r="18" spans="1:11" x14ac:dyDescent="0.25">
      <c r="A18" s="9">
        <v>39598</v>
      </c>
      <c r="B18" s="3">
        <v>-2.2100000000000002E-2</v>
      </c>
      <c r="C18" s="6">
        <v>1.11E-2</v>
      </c>
      <c r="D18" s="7">
        <v>-9.5602407746531365E-2</v>
      </c>
      <c r="E18" s="20">
        <f>'Risk-free_rate_monthly'!B18</f>
        <v>3.2333333333333333E-3</v>
      </c>
      <c r="G18" s="2"/>
      <c r="H18" s="2"/>
      <c r="I18" s="2"/>
    </row>
    <row r="19" spans="1:11" x14ac:dyDescent="0.25">
      <c r="A19" s="9">
        <v>39629</v>
      </c>
      <c r="B19" s="3">
        <v>-0.18179999999999999</v>
      </c>
      <c r="C19" s="6">
        <v>-8.1000000000000003E-2</v>
      </c>
      <c r="D19" s="7">
        <v>9.541474510354692E-3</v>
      </c>
      <c r="E19" s="20">
        <f>'Risk-free_rate_monthly'!B19</f>
        <v>3.4166666666666668E-3</v>
      </c>
      <c r="G19" s="2"/>
      <c r="H19" s="2"/>
      <c r="I19" s="2"/>
    </row>
    <row r="20" spans="1:11" x14ac:dyDescent="0.25">
      <c r="A20" s="9">
        <v>39660</v>
      </c>
      <c r="B20" s="3">
        <v>-3.9E-2</v>
      </c>
      <c r="C20" s="6">
        <v>-2.53E-2</v>
      </c>
      <c r="D20" s="7">
        <v>-8.8370589173669568E-3</v>
      </c>
      <c r="E20" s="20">
        <f>'Risk-free_rate_monthly'!B20</f>
        <v>3.3416666666666664E-3</v>
      </c>
      <c r="G20" s="2"/>
      <c r="H20" s="2"/>
      <c r="I20" s="2"/>
    </row>
    <row r="21" spans="1:11" x14ac:dyDescent="0.25">
      <c r="A21" s="9">
        <v>39689</v>
      </c>
      <c r="B21" s="3">
        <v>1.46E-2</v>
      </c>
      <c r="C21" s="6">
        <v>-1.6E-2</v>
      </c>
      <c r="D21" s="7">
        <v>-9.2066674392818973E-2</v>
      </c>
      <c r="E21" s="20">
        <f>'Risk-free_rate_monthly'!B21</f>
        <v>3.2333333333333333E-3</v>
      </c>
      <c r="G21" s="2"/>
      <c r="H21" s="2"/>
      <c r="I21" s="2"/>
    </row>
    <row r="22" spans="1:11" x14ac:dyDescent="0.25">
      <c r="A22" s="9">
        <v>39721</v>
      </c>
      <c r="B22" s="3">
        <v>-0.19189999999999999</v>
      </c>
      <c r="C22" s="6">
        <v>-0.12130000000000001</v>
      </c>
      <c r="D22" s="7">
        <v>-0.14458015957900958</v>
      </c>
      <c r="E22" s="20">
        <f>'Risk-free_rate_monthly'!B22</f>
        <v>3.075E-3</v>
      </c>
      <c r="G22" s="2"/>
      <c r="H22" s="2"/>
      <c r="I22" s="2"/>
    </row>
    <row r="23" spans="1:11" x14ac:dyDescent="0.25">
      <c r="A23" s="9">
        <v>39752</v>
      </c>
      <c r="B23" s="3">
        <v>-0.25469999999999998</v>
      </c>
      <c r="C23" s="6">
        <v>-0.18989999999999999</v>
      </c>
      <c r="D23" s="7">
        <v>-6.3859698488596656E-2</v>
      </c>
      <c r="E23" s="20">
        <f>'Risk-free_rate_monthly'!B23</f>
        <v>3.1833333333333332E-3</v>
      </c>
      <c r="G23" s="2"/>
      <c r="H23" s="2"/>
      <c r="I23" s="2"/>
    </row>
    <row r="24" spans="1:11" x14ac:dyDescent="0.25">
      <c r="A24" s="9">
        <v>39780</v>
      </c>
      <c r="B24" s="3">
        <v>-6.3700000000000007E-2</v>
      </c>
      <c r="C24" s="6">
        <v>-6.7199999999999996E-2</v>
      </c>
      <c r="D24" s="7">
        <v>3.0144997211347734E-2</v>
      </c>
      <c r="E24" s="20">
        <f>'Risk-free_rate_monthly'!B24</f>
        <v>2.9416666666666666E-3</v>
      </c>
      <c r="G24" s="2"/>
      <c r="H24" s="2"/>
      <c r="I24" s="2"/>
    </row>
    <row r="25" spans="1:11" x14ac:dyDescent="0.25">
      <c r="A25" s="9">
        <v>39813</v>
      </c>
      <c r="B25" s="3">
        <v>0.28539999999999999</v>
      </c>
      <c r="C25" s="6">
        <v>3.0600000000000002E-2</v>
      </c>
      <c r="D25" s="7">
        <v>-9.8093650549195166E-2</v>
      </c>
      <c r="E25" s="20">
        <f>'Risk-free_rate_monthly'!B25</f>
        <v>2E-3</v>
      </c>
      <c r="G25" s="2"/>
      <c r="H25" s="2"/>
      <c r="I25" s="2"/>
    </row>
    <row r="26" spans="1:11" x14ac:dyDescent="0.25">
      <c r="A26" s="9">
        <v>39843</v>
      </c>
      <c r="B26" s="3">
        <v>-0.26169999999999999</v>
      </c>
      <c r="C26" s="6">
        <v>-8.8499999999999995E-2</v>
      </c>
      <c r="D26" s="7">
        <v>-0.11400880445956113</v>
      </c>
      <c r="E26" s="20">
        <f>'Risk-free_rate_monthly'!B26</f>
        <v>2.0999999999999999E-3</v>
      </c>
      <c r="G26" s="2"/>
      <c r="H26" s="2"/>
      <c r="I26" s="2"/>
    </row>
    <row r="27" spans="1:11" x14ac:dyDescent="0.25">
      <c r="A27" s="9">
        <v>39871</v>
      </c>
      <c r="B27" s="3">
        <v>-0.1714</v>
      </c>
      <c r="C27" s="6">
        <v>-0.10490000000000001</v>
      </c>
      <c r="D27" s="7">
        <v>6.2704558744099637E-2</v>
      </c>
      <c r="E27" s="20">
        <f>'Risk-free_rate_monthly'!B27</f>
        <v>2.3916666666666665E-3</v>
      </c>
      <c r="G27" s="2"/>
      <c r="H27" s="2"/>
      <c r="I27" s="2"/>
    </row>
    <row r="28" spans="1:11" x14ac:dyDescent="0.25">
      <c r="A28" s="9">
        <v>39903</v>
      </c>
      <c r="B28" s="3">
        <v>0.1163</v>
      </c>
      <c r="C28" s="6">
        <v>7.2400000000000006E-2</v>
      </c>
      <c r="D28" s="7">
        <v>0.16762066396160208</v>
      </c>
      <c r="E28" s="20">
        <f>'Risk-free_rate_monthly'!B28</f>
        <v>2.3500000000000001E-3</v>
      </c>
      <c r="G28" s="2"/>
      <c r="H28" s="2"/>
      <c r="I28" s="2"/>
    </row>
    <row r="29" spans="1:11" x14ac:dyDescent="0.25">
      <c r="A29" s="9">
        <v>39933</v>
      </c>
      <c r="B29" s="3">
        <v>0.42859999999999998</v>
      </c>
      <c r="C29" s="6">
        <v>0.109</v>
      </c>
      <c r="D29" s="7">
        <v>3.5930688442800646E-2</v>
      </c>
      <c r="E29" s="20">
        <f>'Risk-free_rate_monthly'!B29</f>
        <v>2.4499999999999999E-3</v>
      </c>
      <c r="G29" s="2"/>
      <c r="H29" s="2"/>
      <c r="I29" s="2"/>
    </row>
    <row r="30" spans="1:11" x14ac:dyDescent="0.25">
      <c r="A30" s="9">
        <v>39962</v>
      </c>
      <c r="B30" s="3">
        <v>4.4699999999999997E-2</v>
      </c>
      <c r="C30" s="6">
        <v>8.6199999999999999E-2</v>
      </c>
      <c r="D30" s="7">
        <v>-2.6752581901071937E-2</v>
      </c>
      <c r="E30" s="20">
        <f>'Risk-free_rate_monthly'!B30</f>
        <v>2.7500000000000003E-3</v>
      </c>
      <c r="G30" s="2"/>
      <c r="H30" s="2"/>
      <c r="I30" s="2"/>
    </row>
    <row r="31" spans="1:11" x14ac:dyDescent="0.25">
      <c r="A31" s="9">
        <v>39994</v>
      </c>
      <c r="B31" s="3">
        <v>-7.85E-2</v>
      </c>
      <c r="C31" s="6">
        <v>-6.0999999999999995E-3</v>
      </c>
      <c r="D31" s="7">
        <v>0.10886653712594088</v>
      </c>
      <c r="E31" s="20">
        <f>'Risk-free_rate_monthly'!B31</f>
        <v>3.0999999999999999E-3</v>
      </c>
      <c r="G31" s="2"/>
      <c r="H31" s="2"/>
      <c r="I31" s="2"/>
      <c r="K31" t="s">
        <v>9</v>
      </c>
    </row>
    <row r="32" spans="1:11" x14ac:dyDescent="0.25">
      <c r="A32" s="9">
        <v>40025</v>
      </c>
      <c r="B32" s="3">
        <v>0.25640000000000002</v>
      </c>
      <c r="C32" s="6">
        <v>8.3699999999999997E-2</v>
      </c>
      <c r="D32" s="7">
        <v>2.4843631749433024E-2</v>
      </c>
      <c r="E32" s="20">
        <f>'Risk-free_rate_monthly'!B32</f>
        <v>2.9666666666666665E-3</v>
      </c>
      <c r="G32" s="2"/>
      <c r="H32" s="2"/>
      <c r="I32" s="2"/>
    </row>
    <row r="33" spans="1:9" x14ac:dyDescent="0.25">
      <c r="A33" s="9">
        <v>40056</v>
      </c>
      <c r="B33" s="3">
        <v>-6.3700000000000007E-2</v>
      </c>
      <c r="C33" s="6">
        <v>3.9100000000000003E-2</v>
      </c>
      <c r="D33" s="7">
        <v>3.8529794125945316E-2</v>
      </c>
      <c r="E33" s="20">
        <f>'Risk-free_rate_monthly'!B33</f>
        <v>2.9916666666666668E-3</v>
      </c>
      <c r="G33" s="2"/>
      <c r="H33" s="2"/>
      <c r="I33" s="2"/>
    </row>
    <row r="34" spans="1:9" x14ac:dyDescent="0.25">
      <c r="A34" s="9">
        <v>40086</v>
      </c>
      <c r="B34" s="3">
        <v>0.13539999999999999</v>
      </c>
      <c r="C34" s="6">
        <v>3.8100000000000002E-2</v>
      </c>
      <c r="D34" s="7">
        <v>-4.5848960707286224E-2</v>
      </c>
      <c r="E34" s="20">
        <f>'Risk-free_rate_monthly'!B34</f>
        <v>2.8333333333333335E-3</v>
      </c>
      <c r="G34" s="2"/>
      <c r="H34" s="2"/>
      <c r="I34" s="2"/>
    </row>
    <row r="35" spans="1:9" x14ac:dyDescent="0.25">
      <c r="A35" s="9">
        <v>40116</v>
      </c>
      <c r="B35" s="3">
        <v>-3.56E-2</v>
      </c>
      <c r="C35" s="6">
        <v>-1.8500000000000003E-2</v>
      </c>
      <c r="D35" s="7">
        <v>3.8964320238673841E-2</v>
      </c>
      <c r="E35" s="20">
        <f>'Risk-free_rate_monthly'!B35</f>
        <v>2.8333333333333335E-3</v>
      </c>
      <c r="G35" s="2"/>
      <c r="H35" s="2"/>
      <c r="I35" s="2"/>
    </row>
    <row r="36" spans="1:9" x14ac:dyDescent="0.25">
      <c r="A36" s="9">
        <v>40147</v>
      </c>
      <c r="B36" s="3">
        <v>5.5100000000000003E-2</v>
      </c>
      <c r="C36" s="6">
        <v>3.8699999999999998E-2</v>
      </c>
      <c r="D36" s="7">
        <v>5.8919821454267156E-2</v>
      </c>
      <c r="E36" s="20">
        <f>'Risk-free_rate_monthly'!B36</f>
        <v>2.8333333333333335E-3</v>
      </c>
      <c r="G36" s="2"/>
      <c r="H36" s="2"/>
      <c r="I36" s="2"/>
    </row>
    <row r="37" spans="1:9" x14ac:dyDescent="0.25">
      <c r="A37" s="9">
        <v>40178</v>
      </c>
      <c r="B37" s="3">
        <v>1.4999999999999999E-2</v>
      </c>
      <c r="C37" s="6">
        <v>1.6899999999999998E-2</v>
      </c>
      <c r="D37" s="7">
        <v>-5.8521900668601211E-2</v>
      </c>
      <c r="E37" s="20">
        <f>'Risk-free_rate_monthly'!B37</f>
        <v>2.9999999999999996E-3</v>
      </c>
      <c r="G37" s="2"/>
      <c r="H37" s="2"/>
      <c r="I37" s="2"/>
    </row>
    <row r="38" spans="1:9" x14ac:dyDescent="0.25">
      <c r="A38" s="9">
        <v>40207</v>
      </c>
      <c r="B38" s="3">
        <v>-0.1457</v>
      </c>
      <c r="C38" s="6">
        <v>-4.1900000000000007E-2</v>
      </c>
      <c r="D38" s="7">
        <v>-1.8417658582639033E-3</v>
      </c>
      <c r="E38" s="20">
        <f>'Risk-free_rate_monthly'!B38</f>
        <v>3.1083333333333332E-3</v>
      </c>
      <c r="G38" s="2"/>
      <c r="H38" s="2"/>
      <c r="I38" s="2"/>
    </row>
    <row r="39" spans="1:9" x14ac:dyDescent="0.25">
      <c r="A39" s="9">
        <v>40235</v>
      </c>
      <c r="B39" s="3">
        <v>-0.1003</v>
      </c>
      <c r="C39" s="6">
        <v>1.23E-2</v>
      </c>
      <c r="D39" s="7">
        <v>9.9150453493794338E-2</v>
      </c>
      <c r="E39" s="20">
        <f>'Risk-free_rate_monthly'!B39</f>
        <v>3.075E-3</v>
      </c>
      <c r="G39" s="2"/>
      <c r="H39" s="2"/>
      <c r="I39" s="2"/>
    </row>
    <row r="40" spans="1:9" x14ac:dyDescent="0.25">
      <c r="A40" s="9">
        <v>40268</v>
      </c>
      <c r="B40" s="3">
        <v>0.1206</v>
      </c>
      <c r="C40" s="6">
        <v>5.9299999999999999E-2</v>
      </c>
      <c r="D40" s="7">
        <v>-2.9007013131665559E-3</v>
      </c>
      <c r="E40" s="20">
        <f>'Risk-free_rate_monthly'!B40</f>
        <v>3.1083333333333332E-3</v>
      </c>
      <c r="G40" s="2"/>
      <c r="H40" s="2"/>
      <c r="I40" s="2"/>
    </row>
    <row r="41" spans="1:9" x14ac:dyDescent="0.25">
      <c r="A41" s="9">
        <v>40298</v>
      </c>
      <c r="B41" s="3">
        <v>7.0599999999999996E-2</v>
      </c>
      <c r="C41" s="6">
        <v>-1.6000000000000001E-3</v>
      </c>
      <c r="D41" s="7">
        <v>-2.79300017200401E-2</v>
      </c>
      <c r="E41" s="20">
        <f>'Risk-free_rate_monthly'!B41</f>
        <v>3.2083333333333334E-3</v>
      </c>
      <c r="G41" s="2"/>
      <c r="H41" s="2"/>
      <c r="I41" s="2"/>
    </row>
    <row r="42" spans="1:9" x14ac:dyDescent="0.25">
      <c r="A42" s="9">
        <v>40329</v>
      </c>
      <c r="B42" s="3">
        <v>-3.3599999999999998E-2</v>
      </c>
      <c r="C42" s="6">
        <v>-9.9100000000000008E-2</v>
      </c>
      <c r="D42" s="7">
        <v>1.9950974953401526E-4</v>
      </c>
      <c r="E42" s="20">
        <f>'Risk-free_rate_monthly'!B42</f>
        <v>2.8500000000000001E-3</v>
      </c>
      <c r="G42" s="2"/>
      <c r="H42" s="2"/>
      <c r="I42" s="2"/>
    </row>
    <row r="43" spans="1:9" x14ac:dyDescent="0.25">
      <c r="A43" s="9">
        <v>40359</v>
      </c>
      <c r="B43" s="3">
        <v>3.1399999999999997E-2</v>
      </c>
      <c r="C43" s="6">
        <v>-3.56E-2</v>
      </c>
      <c r="D43" s="7">
        <v>3.0584122488620927E-2</v>
      </c>
      <c r="E43" s="20">
        <f>'Risk-free_rate_monthly'!B43</f>
        <v>2.6666666666666666E-3</v>
      </c>
      <c r="G43" s="2"/>
      <c r="H43" s="2"/>
      <c r="I43" s="2"/>
    </row>
    <row r="44" spans="1:9" x14ac:dyDescent="0.25">
      <c r="A44" s="9">
        <v>40389</v>
      </c>
      <c r="B44" s="3">
        <v>5.0500000000000003E-2</v>
      </c>
      <c r="C44" s="6">
        <v>8.0199999999999994E-2</v>
      </c>
      <c r="D44" s="7">
        <v>-3.6231470259326881E-2</v>
      </c>
      <c r="E44" s="20">
        <f>'Risk-free_rate_monthly'!B44</f>
        <v>2.5083333333333333E-3</v>
      </c>
      <c r="G44" s="2"/>
      <c r="H44" s="2"/>
      <c r="I44" s="2"/>
    </row>
    <row r="45" spans="1:9" x14ac:dyDescent="0.25">
      <c r="A45" s="9">
        <v>40421</v>
      </c>
      <c r="B45" s="3">
        <v>-0.1041</v>
      </c>
      <c r="C45" s="6">
        <v>-3.9199999999999999E-2</v>
      </c>
      <c r="D45" s="7">
        <v>5.127232304900918E-2</v>
      </c>
      <c r="E45" s="20">
        <f>'Risk-free_rate_monthly'!B45</f>
        <v>2.2499999999999998E-3</v>
      </c>
      <c r="G45" s="2"/>
      <c r="H45" s="2"/>
      <c r="I45" s="2"/>
    </row>
    <row r="46" spans="1:9" x14ac:dyDescent="0.25">
      <c r="A46" s="9">
        <v>40451</v>
      </c>
      <c r="B46" s="3">
        <v>0.25269999999999998</v>
      </c>
      <c r="C46" s="6">
        <v>9.11E-2</v>
      </c>
      <c r="D46" s="7">
        <v>5.97766736668797E-2</v>
      </c>
      <c r="E46" s="20">
        <f>'Risk-free_rate_monthly'!B46</f>
        <v>2.2083333333333334E-3</v>
      </c>
      <c r="G46" s="2"/>
      <c r="H46" s="2"/>
      <c r="I46" s="2"/>
    </row>
    <row r="47" spans="1:9" x14ac:dyDescent="0.25">
      <c r="A47" s="9">
        <v>40480</v>
      </c>
      <c r="B47" s="3">
        <v>4.5100000000000001E-2</v>
      </c>
      <c r="C47" s="6">
        <v>3.6499999999999998E-2</v>
      </c>
      <c r="D47" s="7">
        <v>1.3197278058330006E-2</v>
      </c>
      <c r="E47" s="20">
        <f>'Risk-free_rate_monthly'!B47</f>
        <v>2.1166666666666664E-3</v>
      </c>
      <c r="G47" s="2"/>
      <c r="H47" s="2"/>
      <c r="I47" s="2"/>
    </row>
    <row r="48" spans="1:9" x14ac:dyDescent="0.25">
      <c r="A48" s="9">
        <v>40512</v>
      </c>
      <c r="B48" s="3">
        <v>-2.8899999999999999E-2</v>
      </c>
      <c r="C48" s="6">
        <v>-2.35E-2</v>
      </c>
      <c r="D48" s="7">
        <v>3.3744492270122044E-2</v>
      </c>
      <c r="E48" s="20">
        <f>'Risk-free_rate_monthly'!B48</f>
        <v>2.3083333333333332E-3</v>
      </c>
      <c r="G48" s="2"/>
      <c r="H48" s="2"/>
      <c r="I48" s="2"/>
    </row>
    <row r="49" spans="1:9" x14ac:dyDescent="0.25">
      <c r="A49" s="9">
        <v>40543</v>
      </c>
      <c r="B49" s="3">
        <v>3.7000000000000002E-3</v>
      </c>
      <c r="C49" s="6">
        <v>7.2499999999999995E-2</v>
      </c>
      <c r="D49" s="7">
        <v>2.3616655080838551E-2</v>
      </c>
      <c r="E49" s="20">
        <f>'Risk-free_rate_monthly'!B49</f>
        <v>2.7583333333333331E-3</v>
      </c>
      <c r="G49" s="2"/>
      <c r="H49" s="2"/>
      <c r="I49" s="2"/>
    </row>
    <row r="50" spans="1:9" x14ac:dyDescent="0.25">
      <c r="A50" s="9">
        <v>40574</v>
      </c>
      <c r="B50" s="3">
        <v>6.4299999999999996E-2</v>
      </c>
      <c r="C50" s="6">
        <v>2.1899999999999999E-2</v>
      </c>
      <c r="D50" s="7">
        <v>2.7529550708810354E-2</v>
      </c>
      <c r="E50" s="20">
        <f>'Risk-free_rate_monthly'!B50</f>
        <v>2.8249999999999998E-3</v>
      </c>
      <c r="G50" s="2"/>
      <c r="H50" s="2"/>
      <c r="I50" s="2"/>
    </row>
    <row r="51" spans="1:9" x14ac:dyDescent="0.25">
      <c r="A51" s="9">
        <v>40602</v>
      </c>
      <c r="B51" s="3">
        <v>-3.7600000000000001E-2</v>
      </c>
      <c r="C51" s="6">
        <v>3.3300000000000003E-2</v>
      </c>
      <c r="D51" s="7">
        <v>-3.1765622331078568E-2</v>
      </c>
      <c r="E51" s="20">
        <f>'Risk-free_rate_monthly'!B51</f>
        <v>2.9833333333333331E-3</v>
      </c>
      <c r="G51" s="2"/>
      <c r="H51" s="2"/>
      <c r="I51" s="2"/>
    </row>
    <row r="52" spans="1:9" x14ac:dyDescent="0.25">
      <c r="A52" s="9">
        <v>40633</v>
      </c>
      <c r="B52" s="3">
        <v>-1.4800000000000001E-2</v>
      </c>
      <c r="C52" s="6">
        <v>-1.24E-2</v>
      </c>
      <c r="D52" s="7">
        <v>6.7196288479759891E-2</v>
      </c>
      <c r="E52" s="20">
        <f>'Risk-free_rate_monthly'!B52</f>
        <v>2.8416666666666664E-3</v>
      </c>
      <c r="G52" s="2"/>
      <c r="H52" s="2"/>
      <c r="I52" s="2"/>
    </row>
    <row r="53" spans="1:9" x14ac:dyDescent="0.25">
      <c r="A53" s="1">
        <v>40662</v>
      </c>
      <c r="B53" s="3">
        <v>6.7400000000000002E-2</v>
      </c>
      <c r="C53" s="6">
        <v>4.0199999999999993E-2</v>
      </c>
      <c r="D53" s="7">
        <v>-2.9379359414488194E-2</v>
      </c>
      <c r="E53" s="20">
        <f>'Risk-free_rate_monthly'!B53</f>
        <v>2.8750000000000004E-3</v>
      </c>
      <c r="G53" s="2"/>
      <c r="H53" s="2"/>
      <c r="I53" s="2"/>
    </row>
    <row r="54" spans="1:9" x14ac:dyDescent="0.25">
      <c r="A54" s="1">
        <v>40694</v>
      </c>
      <c r="B54" s="3">
        <v>-9.7000000000000003E-2</v>
      </c>
      <c r="C54" s="6">
        <v>-2.4500000000000001E-2</v>
      </c>
      <c r="D54" s="7">
        <v>1.131804253646162E-2</v>
      </c>
      <c r="E54" s="20">
        <f>'Risk-free_rate_monthly'!B54</f>
        <v>2.6416666666666667E-3</v>
      </c>
      <c r="G54" s="2"/>
      <c r="H54" s="2"/>
      <c r="I54" s="2"/>
    </row>
    <row r="55" spans="1:9" x14ac:dyDescent="0.25">
      <c r="A55" s="1">
        <v>40724</v>
      </c>
      <c r="B55" s="3">
        <v>6.7699999999999996E-2</v>
      </c>
      <c r="C55" s="6">
        <v>-1.7299999999999999E-2</v>
      </c>
      <c r="D55" s="7">
        <v>-2.9482528646178573E-2</v>
      </c>
      <c r="E55" s="20">
        <f>'Risk-free_rate_monthly'!B55</f>
        <v>2.5000000000000001E-3</v>
      </c>
      <c r="G55" s="2"/>
      <c r="H55" s="2"/>
      <c r="I55" s="2"/>
    </row>
    <row r="56" spans="1:9" x14ac:dyDescent="0.25">
      <c r="A56" s="1">
        <v>40753</v>
      </c>
      <c r="B56" s="3">
        <v>-3.1E-2</v>
      </c>
      <c r="C56" s="6">
        <v>-1.89E-2</v>
      </c>
      <c r="D56" s="7">
        <v>-0.1919212264343701</v>
      </c>
      <c r="E56" s="20">
        <f>'Risk-free_rate_monthly'!B56</f>
        <v>2.4916666666666668E-3</v>
      </c>
      <c r="G56" s="2"/>
      <c r="H56" s="2"/>
      <c r="I56" s="2"/>
    </row>
    <row r="57" spans="1:9" x14ac:dyDescent="0.25">
      <c r="A57" s="1">
        <v>40786</v>
      </c>
      <c r="B57" s="3">
        <v>-0.25800000000000001</v>
      </c>
      <c r="C57" s="6">
        <v>-7.2599999999999998E-2</v>
      </c>
      <c r="D57" s="7">
        <v>-4.8891513731320883E-2</v>
      </c>
      <c r="E57" s="20">
        <f>'Risk-free_rate_monthly'!B57</f>
        <v>1.9E-3</v>
      </c>
      <c r="G57" s="2"/>
      <c r="H57" s="2"/>
      <c r="I57" s="2"/>
    </row>
    <row r="58" spans="1:9" x14ac:dyDescent="0.25">
      <c r="A58" s="1">
        <v>40816</v>
      </c>
      <c r="B58" s="3">
        <v>-0.15010000000000001</v>
      </c>
      <c r="C58" s="6">
        <v>-8.8499999999999995E-2</v>
      </c>
      <c r="D58" s="7">
        <v>0.11619729148132038</v>
      </c>
      <c r="E58" s="20">
        <f>'Risk-free_rate_monthly'!B58</f>
        <v>1.6416666666666665E-3</v>
      </c>
      <c r="G58" s="2"/>
      <c r="H58" s="2"/>
      <c r="I58" s="2"/>
    </row>
    <row r="59" spans="1:9" x14ac:dyDescent="0.25">
      <c r="A59" s="1">
        <v>40847</v>
      </c>
      <c r="B59" s="3">
        <v>0.17879999999999999</v>
      </c>
      <c r="C59" s="6">
        <v>0.1026</v>
      </c>
      <c r="D59" s="7">
        <v>-8.5486231561166144E-3</v>
      </c>
      <c r="E59" s="20">
        <f>'Risk-free_rate_monthly'!B59</f>
        <v>1.7916666666666665E-3</v>
      </c>
      <c r="G59" s="2"/>
      <c r="H59" s="2"/>
      <c r="I59" s="2"/>
    </row>
    <row r="60" spans="1:9" x14ac:dyDescent="0.25">
      <c r="A60" s="1">
        <v>40877</v>
      </c>
      <c r="B60" s="3">
        <v>-3.6400000000000002E-2</v>
      </c>
      <c r="C60" s="6">
        <v>-2.69E-2</v>
      </c>
      <c r="D60" s="7">
        <v>-3.1285064294754049E-2</v>
      </c>
      <c r="E60" s="20">
        <f>'Risk-free_rate_monthly'!B60</f>
        <v>1.6750000000000001E-3</v>
      </c>
      <c r="G60" s="2"/>
      <c r="H60" s="2"/>
      <c r="I60" s="2"/>
    </row>
    <row r="61" spans="1:9" x14ac:dyDescent="0.25">
      <c r="A61" s="1">
        <v>40907</v>
      </c>
      <c r="B61" s="3">
        <v>-3.3700000000000001E-2</v>
      </c>
      <c r="C61" s="6">
        <v>-1.7000000000000001E-3</v>
      </c>
      <c r="D61" s="7">
        <v>9.5036755819237234E-2</v>
      </c>
      <c r="E61" s="20">
        <f>'Risk-free_rate_monthly'!B61</f>
        <v>1.6416666666666665E-3</v>
      </c>
      <c r="G61" s="2"/>
      <c r="H61" s="2"/>
      <c r="I61" s="2"/>
    </row>
    <row r="62" spans="1:9" x14ac:dyDescent="0.25">
      <c r="A62" s="1">
        <v>40939</v>
      </c>
      <c r="B62" s="3">
        <v>0.1741</v>
      </c>
      <c r="C62" s="6">
        <v>4.9299999999999997E-2</v>
      </c>
      <c r="D62" s="7">
        <v>6.1491786138416764E-2</v>
      </c>
      <c r="E62" s="20">
        <f>'Risk-free_rate_monthly'!B62</f>
        <v>1.6416666666666665E-3</v>
      </c>
      <c r="G62" s="2"/>
      <c r="H62" s="2"/>
      <c r="I62" s="2"/>
    </row>
    <row r="63" spans="1:9" x14ac:dyDescent="0.25">
      <c r="A63" s="1">
        <v>40968</v>
      </c>
      <c r="B63" s="3">
        <v>5.5100000000000003E-2</v>
      </c>
      <c r="C63" s="6">
        <v>4.6600000000000003E-2</v>
      </c>
      <c r="D63" s="7">
        <v>1.3236426495542459E-2</v>
      </c>
      <c r="E63" s="20">
        <f>'Risk-free_rate_monthly'!B63</f>
        <v>1.6416666666666665E-3</v>
      </c>
      <c r="G63" s="2"/>
      <c r="H63" s="2"/>
      <c r="I63" s="2"/>
    </row>
    <row r="64" spans="1:9" x14ac:dyDescent="0.25">
      <c r="A64" s="1">
        <v>40998</v>
      </c>
      <c r="B64" s="3">
        <v>-5.3E-3</v>
      </c>
      <c r="C64" s="6">
        <v>1.0200000000000001E-2</v>
      </c>
      <c r="D64" s="7">
        <v>-2.6722999543044291E-2</v>
      </c>
      <c r="E64" s="20">
        <f>'Risk-free_rate_monthly'!B64</f>
        <v>1.8166666666666667E-3</v>
      </c>
      <c r="G64" s="2"/>
      <c r="H64" s="2"/>
      <c r="I64" s="2"/>
    </row>
    <row r="65" spans="1:9" x14ac:dyDescent="0.25">
      <c r="A65" s="1">
        <v>41029</v>
      </c>
      <c r="B65" s="3">
        <v>-7.6499999999999999E-2</v>
      </c>
      <c r="C65" s="6">
        <v>-1.37E-2</v>
      </c>
      <c r="D65" s="7">
        <v>-7.3479677739466134E-2</v>
      </c>
      <c r="E65" s="20">
        <f>'Risk-free_rate_monthly'!B65</f>
        <v>1.7083333333333334E-3</v>
      </c>
      <c r="G65" s="2"/>
      <c r="H65" s="2"/>
      <c r="I65" s="2"/>
    </row>
    <row r="66" spans="1:9" x14ac:dyDescent="0.25">
      <c r="A66" s="1">
        <v>41060</v>
      </c>
      <c r="B66" s="3">
        <v>-0.16839999999999999</v>
      </c>
      <c r="C66" s="6">
        <v>-8.9900000000000008E-2</v>
      </c>
      <c r="D66" s="7">
        <v>2.4248194527956297E-2</v>
      </c>
      <c r="E66" s="20">
        <f>'Risk-free_rate_monthly'!B66</f>
        <v>1.4999999999999998E-3</v>
      </c>
      <c r="G66" s="2"/>
      <c r="H66" s="2"/>
      <c r="I66" s="2"/>
    </row>
    <row r="67" spans="1:9" x14ac:dyDescent="0.25">
      <c r="A67" s="1">
        <v>41089</v>
      </c>
      <c r="B67" s="3">
        <v>1.17E-2</v>
      </c>
      <c r="C67" s="6">
        <v>4.9299999999999997E-2</v>
      </c>
      <c r="D67" s="7">
        <v>5.5480744750597007E-2</v>
      </c>
      <c r="E67" s="20">
        <f>'Risk-free_rate_monthly'!B67</f>
        <v>1.3583333333333331E-3</v>
      </c>
      <c r="G67" s="2"/>
      <c r="H67" s="2"/>
      <c r="I67" s="2"/>
    </row>
    <row r="68" spans="1:9" x14ac:dyDescent="0.25">
      <c r="A68" s="1">
        <v>41121</v>
      </c>
      <c r="B68" s="3">
        <v>8.8300000000000003E-2</v>
      </c>
      <c r="C68" s="6">
        <v>1.2E-2</v>
      </c>
      <c r="D68" s="7">
        <v>2.9315218237303556E-2</v>
      </c>
      <c r="E68" s="20">
        <f>'Risk-free_rate_monthly'!B68</f>
        <v>1.2749999999999999E-3</v>
      </c>
      <c r="G68" s="2"/>
      <c r="H68" s="2"/>
      <c r="I68" s="2"/>
    </row>
    <row r="69" spans="1:9" x14ac:dyDescent="0.25">
      <c r="A69" s="1">
        <v>41152</v>
      </c>
      <c r="B69" s="3">
        <v>-1.1900000000000001E-2</v>
      </c>
      <c r="C69" s="6">
        <v>2.29E-2</v>
      </c>
      <c r="D69" s="7">
        <v>3.5198286223981287E-2</v>
      </c>
      <c r="E69" s="20">
        <f>'Risk-free_rate_monthly'!B69</f>
        <v>1.4E-3</v>
      </c>
      <c r="G69" s="2"/>
      <c r="H69" s="2"/>
      <c r="I69" s="2"/>
    </row>
    <row r="70" spans="1:9" x14ac:dyDescent="0.25">
      <c r="A70" s="1">
        <v>41180</v>
      </c>
      <c r="B70" s="3">
        <v>1.8800000000000001E-2</v>
      </c>
      <c r="C70" s="6">
        <v>2.52E-2</v>
      </c>
      <c r="D70" s="7">
        <v>6.1639491424189509E-3</v>
      </c>
      <c r="E70" s="20">
        <f>'Risk-free_rate_monthly'!B70</f>
        <v>1.4333333333333333E-3</v>
      </c>
      <c r="G70" s="2"/>
      <c r="H70" s="2"/>
      <c r="I70" s="2"/>
    </row>
    <row r="71" spans="1:9" x14ac:dyDescent="0.25">
      <c r="A71" s="1">
        <v>41213</v>
      </c>
      <c r="B71" s="3">
        <v>-3.1399999999999997E-2</v>
      </c>
      <c r="C71" s="6">
        <v>-7.6E-3</v>
      </c>
      <c r="D71" s="7">
        <v>1.9952830447837386E-2</v>
      </c>
      <c r="E71" s="20">
        <f>'Risk-free_rate_monthly'!B71</f>
        <v>1.4583333333333334E-3</v>
      </c>
      <c r="G71" s="2"/>
      <c r="H71" s="2"/>
      <c r="I71" s="2"/>
    </row>
    <row r="72" spans="1:9" x14ac:dyDescent="0.25">
      <c r="A72" s="1">
        <v>41243</v>
      </c>
      <c r="B72" s="3">
        <v>4.3700000000000003E-2</v>
      </c>
      <c r="C72" s="6">
        <v>1.0700000000000001E-2</v>
      </c>
      <c r="D72" s="7">
        <v>2.7937362365809241E-2</v>
      </c>
      <c r="E72" s="20">
        <f>'Risk-free_rate_monthly'!B72</f>
        <v>1.3750000000000001E-3</v>
      </c>
      <c r="G72" s="2"/>
      <c r="H72" s="2"/>
      <c r="I72" s="2"/>
    </row>
    <row r="73" spans="1:9" x14ac:dyDescent="0.25">
      <c r="A73" s="1">
        <v>41274</v>
      </c>
      <c r="B73" s="3">
        <v>0.1009</v>
      </c>
      <c r="C73" s="6">
        <v>1.7500000000000002E-2</v>
      </c>
      <c r="D73" s="7">
        <v>2.1499117235798514E-2</v>
      </c>
      <c r="E73" s="20">
        <f>'Risk-free_rate_monthly'!B73</f>
        <v>1.4333333333333333E-3</v>
      </c>
      <c r="G73" s="2"/>
      <c r="H73" s="2"/>
      <c r="I73" s="2"/>
    </row>
    <row r="74" spans="1:9" x14ac:dyDescent="0.25">
      <c r="A74" s="1">
        <v>41305</v>
      </c>
      <c r="B74" s="3">
        <v>3.1899999999999998E-2</v>
      </c>
      <c r="C74" s="6">
        <v>0.05</v>
      </c>
      <c r="D74" s="7">
        <v>-4.4173598242532482E-3</v>
      </c>
      <c r="E74" s="20">
        <f>'Risk-free_rate_monthly'!B74</f>
        <v>1.5916666666666666E-3</v>
      </c>
      <c r="G74" s="2"/>
      <c r="H74" s="2"/>
      <c r="I74" s="2"/>
    </row>
    <row r="75" spans="1:9" x14ac:dyDescent="0.25">
      <c r="A75" s="1">
        <v>41333</v>
      </c>
      <c r="B75" s="3">
        <v>1.7399999999999999E-2</v>
      </c>
      <c r="C75" s="6">
        <v>-2.0000000000000001E-4</v>
      </c>
      <c r="D75" s="7">
        <v>6.9248178887919357E-3</v>
      </c>
      <c r="E75" s="20">
        <f>'Risk-free_rate_monthly'!B75</f>
        <v>1.6500000000000002E-3</v>
      </c>
      <c r="G75" s="2"/>
      <c r="H75" s="2"/>
      <c r="I75" s="2"/>
    </row>
    <row r="76" spans="1:9" x14ac:dyDescent="0.25">
      <c r="A76" s="1">
        <v>41362</v>
      </c>
      <c r="B76" s="3">
        <v>-7.1999999999999995E-2</v>
      </c>
      <c r="C76" s="6">
        <v>2.0899999999999998E-2</v>
      </c>
      <c r="D76" s="7">
        <v>1.5188607137351994E-2</v>
      </c>
      <c r="E76" s="20">
        <f>'Risk-free_rate_monthly'!B76</f>
        <v>1.6333333333333332E-3</v>
      </c>
      <c r="G76" s="2"/>
      <c r="H76" s="2"/>
      <c r="I76" s="2"/>
    </row>
    <row r="77" spans="1:9" x14ac:dyDescent="0.25">
      <c r="A77" s="1">
        <v>41394</v>
      </c>
      <c r="B77" s="3">
        <v>1.77E-2</v>
      </c>
      <c r="C77" s="6">
        <v>2.8999999999999998E-2</v>
      </c>
      <c r="D77" s="7">
        <v>5.4984310158495656E-2</v>
      </c>
      <c r="E77" s="20">
        <f>'Risk-free_rate_monthly'!B77</f>
        <v>1.4583333333333334E-3</v>
      </c>
      <c r="G77" s="2"/>
      <c r="H77" s="2"/>
      <c r="I77" s="2"/>
    </row>
    <row r="78" spans="1:9" x14ac:dyDescent="0.25">
      <c r="A78" s="1">
        <v>41425</v>
      </c>
      <c r="B78" s="3">
        <v>0.15310000000000001</v>
      </c>
      <c r="C78" s="6">
        <v>-2.8999999999999998E-3</v>
      </c>
      <c r="D78" s="7">
        <v>-4.6667517437168821E-2</v>
      </c>
      <c r="E78" s="20">
        <f>'Risk-free_rate_monthly'!B78</f>
        <v>1.6166666666666666E-3</v>
      </c>
      <c r="G78" s="2"/>
      <c r="H78" s="2"/>
      <c r="I78" s="2"/>
    </row>
    <row r="79" spans="1:9" x14ac:dyDescent="0.25">
      <c r="A79" s="1">
        <v>41453</v>
      </c>
      <c r="B79" s="3">
        <v>-5.5899999999999998E-2</v>
      </c>
      <c r="C79" s="6">
        <v>-2.6099999999999998E-2</v>
      </c>
      <c r="D79" s="7">
        <v>3.9796550848417427E-2</v>
      </c>
      <c r="E79" s="20">
        <f>'Risk-free_rate_monthly'!B79</f>
        <v>1.9166666666666666E-3</v>
      </c>
      <c r="G79" s="2"/>
      <c r="H79" s="2"/>
      <c r="I79" s="2"/>
    </row>
    <row r="80" spans="1:9" x14ac:dyDescent="0.25">
      <c r="A80" s="1">
        <v>41486</v>
      </c>
      <c r="B80" s="3">
        <v>0.12909999999999999</v>
      </c>
      <c r="C80" s="6">
        <v>5.1900000000000002E-2</v>
      </c>
      <c r="D80" s="7">
        <v>-2.0882123871983516E-2</v>
      </c>
      <c r="E80" s="20">
        <f>'Risk-free_rate_monthly'!B80</f>
        <v>2.1583333333333333E-3</v>
      </c>
      <c r="G80" s="2"/>
      <c r="H80" s="2"/>
      <c r="I80" s="2"/>
    </row>
    <row r="81" spans="1:9" x14ac:dyDescent="0.25">
      <c r="A81" s="1">
        <v>41516</v>
      </c>
      <c r="B81" s="3">
        <v>-2.9399999999999999E-2</v>
      </c>
      <c r="C81" s="6">
        <v>-2.3300000000000001E-2</v>
      </c>
      <c r="D81" s="7">
        <v>6.0624633005832686E-2</v>
      </c>
      <c r="E81" s="20">
        <f>'Risk-free_rate_monthly'!B81</f>
        <v>2.2833333333333334E-3</v>
      </c>
      <c r="G81" s="2"/>
      <c r="H81" s="2"/>
      <c r="I81" s="2"/>
    </row>
    <row r="82" spans="1:9" x14ac:dyDescent="0.25">
      <c r="A82" s="1">
        <v>41547</v>
      </c>
      <c r="B82" s="3">
        <v>0.1163</v>
      </c>
      <c r="C82" s="6">
        <v>4.82E-2</v>
      </c>
      <c r="D82" s="7">
        <v>5.1140220492899298E-2</v>
      </c>
      <c r="E82" s="20">
        <f>'Risk-free_rate_monthly'!B82</f>
        <v>2.3416666666666668E-3</v>
      </c>
      <c r="G82" s="2"/>
      <c r="H82" s="2"/>
      <c r="I82" s="2"/>
    </row>
    <row r="83" spans="1:9" x14ac:dyDescent="0.25">
      <c r="A83" s="1">
        <v>41578</v>
      </c>
      <c r="B83" s="3">
        <v>0.05</v>
      </c>
      <c r="C83" s="6">
        <v>3.8300000000000001E-2</v>
      </c>
      <c r="D83" s="7">
        <v>4.1109494682988343E-2</v>
      </c>
      <c r="E83" s="20">
        <f>'Risk-free_rate_monthly'!B83</f>
        <v>2.1750000000000003E-3</v>
      </c>
      <c r="G83" s="2"/>
      <c r="H83" s="2"/>
      <c r="I83" s="2"/>
    </row>
    <row r="84" spans="1:9" x14ac:dyDescent="0.25">
      <c r="A84" s="1">
        <v>41607</v>
      </c>
      <c r="B84" s="3">
        <v>1.7299999999999999E-2</v>
      </c>
      <c r="C84" s="6">
        <v>1.5900000000000001E-2</v>
      </c>
      <c r="D84" s="7">
        <v>1.5614637921688169E-2</v>
      </c>
      <c r="E84" s="20">
        <f>'Risk-free_rate_monthly'!B84</f>
        <v>2.2666666666666664E-3</v>
      </c>
      <c r="G84" s="2"/>
      <c r="H84" s="2"/>
      <c r="I84" s="2"/>
    </row>
    <row r="85" spans="1:9" x14ac:dyDescent="0.25">
      <c r="A85" s="1">
        <v>41639</v>
      </c>
      <c r="B85" s="3">
        <v>4.9000000000000002E-2</v>
      </c>
      <c r="C85" s="6">
        <v>2.0099999999999996E-2</v>
      </c>
      <c r="D85" s="7">
        <v>-2.5719804001158943E-2</v>
      </c>
      <c r="E85" s="20">
        <f>'Risk-free_rate_monthly'!B85</f>
        <v>2.4166666666666668E-3</v>
      </c>
      <c r="G85" s="2"/>
      <c r="H85" s="2"/>
      <c r="I85" s="2"/>
    </row>
    <row r="86" spans="1:9" x14ac:dyDescent="0.25">
      <c r="A86" s="1">
        <v>41670</v>
      </c>
      <c r="B86" s="3">
        <v>-1.9599999999999999E-2</v>
      </c>
      <c r="C86" s="6">
        <v>-3.7699999999999997E-2</v>
      </c>
      <c r="D86" s="7">
        <v>4.1433451699000257E-2</v>
      </c>
      <c r="E86" s="20">
        <f>'Risk-free_rate_monthly'!B86</f>
        <v>2.3833333333333332E-3</v>
      </c>
      <c r="G86" s="2"/>
      <c r="H86" s="2"/>
      <c r="I86" s="2"/>
    </row>
    <row r="87" spans="1:9" x14ac:dyDescent="0.25">
      <c r="A87" s="1">
        <v>41698</v>
      </c>
      <c r="B87" s="3">
        <v>0.1169</v>
      </c>
      <c r="C87" s="6">
        <v>4.8099999999999997E-2</v>
      </c>
      <c r="D87" s="7">
        <v>-1.4049607607874836E-2</v>
      </c>
      <c r="E87" s="20">
        <f>'Risk-free_rate_monthly'!B87</f>
        <v>2.2583333333333331E-3</v>
      </c>
      <c r="G87" s="2"/>
      <c r="H87" s="2"/>
      <c r="I87" s="2"/>
    </row>
    <row r="88" spans="1:9" x14ac:dyDescent="0.25">
      <c r="A88" s="1">
        <v>41729</v>
      </c>
      <c r="B88" s="3">
        <v>4.99E-2</v>
      </c>
      <c r="C88" s="6">
        <v>-8.9999999999999998E-4</v>
      </c>
      <c r="D88" s="7">
        <v>4.9519420157261018E-3</v>
      </c>
      <c r="E88" s="20">
        <f>'Risk-free_rate_monthly'!B88</f>
        <v>2.2666666666666664E-3</v>
      </c>
      <c r="G88" s="2"/>
      <c r="H88" s="2"/>
      <c r="I88" s="2"/>
    </row>
    <row r="89" spans="1:9" x14ac:dyDescent="0.25">
      <c r="A89" s="1">
        <v>41759</v>
      </c>
      <c r="B89" s="3">
        <v>-3.7600000000000001E-2</v>
      </c>
      <c r="C89" s="6">
        <v>8.3000000000000001E-3</v>
      </c>
      <c r="D89" s="7">
        <v>3.5408820302467309E-2</v>
      </c>
      <c r="E89" s="20">
        <f>'Risk-free_rate_monthly'!B89</f>
        <v>2.2499999999999998E-3</v>
      </c>
      <c r="G89" s="2"/>
      <c r="H89" s="2"/>
      <c r="I89" s="2"/>
    </row>
    <row r="90" spans="1:9" x14ac:dyDescent="0.25">
      <c r="A90" s="1">
        <v>41789</v>
      </c>
      <c r="B90" s="3">
        <v>2.93E-2</v>
      </c>
      <c r="C90" s="6">
        <v>1.6299999999999999E-2</v>
      </c>
      <c r="D90" s="7">
        <v>-1.1082795015908309E-2</v>
      </c>
      <c r="E90" s="20">
        <f>'Risk-free_rate_monthly'!B90</f>
        <v>2.1333333333333334E-3</v>
      </c>
      <c r="G90" s="2"/>
      <c r="H90" s="2"/>
      <c r="I90" s="2"/>
    </row>
    <row r="91" spans="1:9" x14ac:dyDescent="0.25">
      <c r="A91" s="1">
        <v>41820</v>
      </c>
      <c r="B91" s="3">
        <v>-1.4800000000000001E-2</v>
      </c>
      <c r="C91" s="6">
        <v>1.6500000000000001E-2</v>
      </c>
      <c r="D91" s="7">
        <v>-4.3281480804356787E-2</v>
      </c>
      <c r="E91" s="20">
        <f>'Risk-free_rate_monthly'!B91</f>
        <v>2.1666666666666666E-3</v>
      </c>
      <c r="G91" s="2"/>
      <c r="H91" s="2"/>
      <c r="I91" s="2"/>
    </row>
    <row r="92" spans="1:9" x14ac:dyDescent="0.25">
      <c r="A92" s="1">
        <v>41851</v>
      </c>
      <c r="B92" s="3">
        <v>-0.126</v>
      </c>
      <c r="C92" s="6">
        <v>-1.67E-2</v>
      </c>
      <c r="D92" s="7">
        <v>6.6637877385530026E-3</v>
      </c>
      <c r="E92" s="20">
        <f>'Risk-free_rate_monthly'!B92</f>
        <v>2.1249999999999997E-3</v>
      </c>
      <c r="G92" s="2"/>
      <c r="H92" s="2"/>
      <c r="I92" s="2"/>
    </row>
    <row r="93" spans="1:9" x14ac:dyDescent="0.25">
      <c r="A93" s="1">
        <v>41880</v>
      </c>
      <c r="B93" s="3">
        <v>-6.3E-3</v>
      </c>
      <c r="C93" s="6">
        <v>0.02</v>
      </c>
      <c r="D93" s="7">
        <v>4.360938646314427E-4</v>
      </c>
      <c r="E93" s="20">
        <f>'Risk-free_rate_monthly'!B93</f>
        <v>2.0166666666666666E-3</v>
      </c>
      <c r="G93" s="2"/>
      <c r="H93" s="2"/>
      <c r="I93" s="2"/>
    </row>
    <row r="94" spans="1:9" x14ac:dyDescent="0.25">
      <c r="A94" s="1">
        <v>41912</v>
      </c>
      <c r="B94" s="3">
        <v>-6.0999999999999999E-2</v>
      </c>
      <c r="C94" s="6">
        <v>-2.87E-2</v>
      </c>
      <c r="D94" s="7">
        <v>-1.5561011476773735E-2</v>
      </c>
      <c r="E94" s="20">
        <f>'Risk-free_rate_monthly'!B94</f>
        <v>2.1083333333333332E-3</v>
      </c>
      <c r="G94" s="2"/>
      <c r="H94" s="2"/>
      <c r="I94" s="2"/>
    </row>
    <row r="95" spans="1:9" x14ac:dyDescent="0.25">
      <c r="A95" s="1">
        <v>41943</v>
      </c>
      <c r="B95" s="3">
        <v>2.6100000000000002E-2</v>
      </c>
      <c r="C95" s="6">
        <v>5.6999999999999993E-3</v>
      </c>
      <c r="D95" s="7">
        <v>7.011778697421743E-2</v>
      </c>
      <c r="E95" s="20">
        <f>'Risk-free_rate_monthly'!B95</f>
        <v>1.9166666666666666E-3</v>
      </c>
      <c r="G95" s="2"/>
      <c r="H95" s="2"/>
      <c r="I95" s="2"/>
    </row>
    <row r="96" spans="1:9" x14ac:dyDescent="0.25">
      <c r="A96" s="1">
        <v>41971</v>
      </c>
      <c r="B96" s="3">
        <v>8.2400000000000001E-2</v>
      </c>
      <c r="C96" s="6">
        <v>1.84E-2</v>
      </c>
      <c r="D96" s="7">
        <v>-1.7563615410248007E-2</v>
      </c>
      <c r="E96" s="20">
        <f>'Risk-free_rate_monthly'!B96</f>
        <v>1.9416666666666668E-3</v>
      </c>
      <c r="G96" s="2"/>
      <c r="H96" s="2"/>
      <c r="I96" s="2"/>
    </row>
    <row r="97" spans="1:9" x14ac:dyDescent="0.25">
      <c r="A97" s="1">
        <v>42004</v>
      </c>
      <c r="B97" s="3">
        <v>-2.1499999999999998E-2</v>
      </c>
      <c r="C97" s="6">
        <v>-1.7100000000000001E-2</v>
      </c>
      <c r="D97" s="7">
        <v>9.0639538391493552E-2</v>
      </c>
      <c r="E97" s="20">
        <f>'Risk-free_rate_monthly'!B97</f>
        <v>1.8416666666666668E-3</v>
      </c>
      <c r="G97" s="2"/>
      <c r="H97" s="2"/>
      <c r="I97" s="2"/>
    </row>
    <row r="98" spans="1:9" x14ac:dyDescent="0.25">
      <c r="A98" s="1">
        <v>42034</v>
      </c>
      <c r="B98" s="3">
        <v>8.8300000000000003E-2</v>
      </c>
      <c r="C98" s="6">
        <v>-1.8799999999999997E-2</v>
      </c>
      <c r="D98" s="7">
        <v>6.6141636148690855E-2</v>
      </c>
      <c r="E98" s="20">
        <f>'Risk-free_rate_monthly'!B98</f>
        <v>1.5666666666666667E-3</v>
      </c>
      <c r="G98" s="2"/>
      <c r="H98" s="2"/>
      <c r="I98" s="2"/>
    </row>
    <row r="99" spans="1:9" x14ac:dyDescent="0.25">
      <c r="A99" s="1">
        <v>42062</v>
      </c>
      <c r="B99" s="3">
        <v>5.5399999999999998E-2</v>
      </c>
      <c r="C99" s="6">
        <v>5.6799999999999996E-2</v>
      </c>
      <c r="D99" s="7">
        <v>4.9511190324589012E-2</v>
      </c>
      <c r="E99" s="20">
        <f>'Risk-free_rate_monthly'!B99</f>
        <v>1.6416666666666665E-3</v>
      </c>
      <c r="G99" s="2"/>
      <c r="H99" s="2"/>
      <c r="I99" s="2"/>
    </row>
    <row r="100" spans="1:9" x14ac:dyDescent="0.25">
      <c r="A100" s="1">
        <v>42094</v>
      </c>
      <c r="B100" s="3">
        <v>-3.5999999999999999E-3</v>
      </c>
      <c r="C100" s="6">
        <v>-1.8100000000000002E-2</v>
      </c>
      <c r="D100" s="7">
        <v>-4.2769745234777688E-2</v>
      </c>
      <c r="E100" s="20">
        <f>'Risk-free_rate_monthly'!B100</f>
        <v>1.7000000000000001E-3</v>
      </c>
      <c r="G100" s="2"/>
      <c r="H100" s="2"/>
      <c r="I100" s="2"/>
    </row>
    <row r="101" spans="1:9" x14ac:dyDescent="0.25">
      <c r="A101" s="1">
        <v>42124</v>
      </c>
      <c r="B101" s="3">
        <v>-4.1000000000000003E-3</v>
      </c>
      <c r="C101" s="6">
        <v>2.1600000000000001E-2</v>
      </c>
      <c r="D101" s="7">
        <v>-3.5409660247252548E-3</v>
      </c>
      <c r="E101" s="20">
        <f>'Risk-free_rate_monthly'!B101</f>
        <v>1.6083333333333334E-3</v>
      </c>
      <c r="G101" s="2"/>
      <c r="H101" s="2"/>
      <c r="I101" s="2"/>
    </row>
    <row r="102" spans="1:9" x14ac:dyDescent="0.25">
      <c r="A102" s="1">
        <v>42153</v>
      </c>
      <c r="B102" s="3">
        <v>-2.6800000000000001E-2</v>
      </c>
      <c r="C102" s="6">
        <v>5.0000000000000001E-4</v>
      </c>
      <c r="D102" s="7">
        <v>-4.107744586323947E-2</v>
      </c>
      <c r="E102" s="20">
        <f>'Risk-free_rate_monthly'!B102</f>
        <v>1.8333333333333333E-3</v>
      </c>
      <c r="G102" s="2"/>
      <c r="H102" s="2"/>
      <c r="I102" s="2"/>
    </row>
    <row r="103" spans="1:9" x14ac:dyDescent="0.25">
      <c r="A103" s="1">
        <v>42185</v>
      </c>
      <c r="B103" s="3">
        <v>-2.5899999999999999E-2</v>
      </c>
      <c r="C103" s="6">
        <v>-2.46E-2</v>
      </c>
      <c r="D103" s="7">
        <v>3.3259160699367102E-2</v>
      </c>
      <c r="E103" s="20">
        <f>'Risk-free_rate_monthly'!B103</f>
        <v>1.9666666666666665E-3</v>
      </c>
      <c r="G103" s="2"/>
      <c r="H103" s="2"/>
      <c r="I103" s="2"/>
    </row>
    <row r="104" spans="1:9" x14ac:dyDescent="0.25">
      <c r="A104" s="1">
        <v>42216</v>
      </c>
      <c r="B104" s="3">
        <v>-4.7800000000000002E-2</v>
      </c>
      <c r="C104" s="6">
        <v>1.7299999999999999E-2</v>
      </c>
      <c r="D104" s="7">
        <v>-8.7838975580107517E-2</v>
      </c>
      <c r="E104" s="20">
        <f>'Risk-free_rate_monthly'!B104</f>
        <v>1.9333333333333331E-3</v>
      </c>
      <c r="G104" s="2"/>
      <c r="H104" s="2"/>
      <c r="I104" s="2"/>
    </row>
    <row r="105" spans="1:9" x14ac:dyDescent="0.25">
      <c r="A105" s="1">
        <v>42247</v>
      </c>
      <c r="B105" s="3">
        <v>-0.1036</v>
      </c>
      <c r="C105" s="6">
        <v>-6.8099999999999994E-2</v>
      </c>
      <c r="D105" s="7">
        <v>-6.3513359310340703E-2</v>
      </c>
      <c r="E105" s="20">
        <f>'Risk-free_rate_monthly'!B105</f>
        <v>1.8083333333333335E-3</v>
      </c>
      <c r="G105" s="2"/>
      <c r="H105" s="2"/>
      <c r="I105" s="2"/>
    </row>
    <row r="106" spans="1:9" x14ac:dyDescent="0.25">
      <c r="A106" s="1">
        <v>42277</v>
      </c>
      <c r="B106" s="3">
        <v>-7.2400000000000006E-2</v>
      </c>
      <c r="C106" s="6">
        <v>-3.8599999999999995E-2</v>
      </c>
      <c r="D106" s="7">
        <v>0.12315165407008256</v>
      </c>
      <c r="E106" s="20">
        <f>'Risk-free_rate_monthly'!B106</f>
        <v>1.8083333333333335E-3</v>
      </c>
      <c r="G106" s="2"/>
      <c r="H106" s="2"/>
      <c r="I106" s="2"/>
    </row>
    <row r="107" spans="1:9" x14ac:dyDescent="0.25">
      <c r="A107" s="1">
        <v>42307</v>
      </c>
      <c r="B107" s="3">
        <v>0.1883</v>
      </c>
      <c r="C107" s="6">
        <v>7.8299999999999995E-2</v>
      </c>
      <c r="D107" s="7">
        <v>4.9039997480408444E-2</v>
      </c>
      <c r="E107" s="20">
        <f>'Risk-free_rate_monthly'!B107</f>
        <v>1.725E-3</v>
      </c>
      <c r="G107" s="2"/>
      <c r="H107" s="2"/>
      <c r="I107" s="2"/>
    </row>
    <row r="108" spans="1:9" x14ac:dyDescent="0.25">
      <c r="A108" s="1">
        <v>42338</v>
      </c>
      <c r="B108" s="3">
        <v>1.4200000000000001E-2</v>
      </c>
      <c r="C108" s="6">
        <v>-6.7000000000000002E-3</v>
      </c>
      <c r="D108" s="7">
        <v>-5.6159529078324874E-2</v>
      </c>
      <c r="E108" s="20">
        <f>'Risk-free_rate_monthly'!B108</f>
        <v>1.8833333333333332E-3</v>
      </c>
      <c r="G108" s="2"/>
      <c r="H108" s="2"/>
      <c r="I108" s="2"/>
    </row>
    <row r="109" spans="1:9" x14ac:dyDescent="0.25">
      <c r="A109" s="1">
        <v>42369</v>
      </c>
      <c r="B109" s="3">
        <v>-6.5299999999999997E-2</v>
      </c>
      <c r="C109" s="6">
        <v>-1.8700000000000001E-2</v>
      </c>
      <c r="D109" s="7">
        <v>-8.7954812904523574E-2</v>
      </c>
      <c r="E109" s="20">
        <f>'Risk-free_rate_monthly'!B109</f>
        <v>1.8666666666666666E-3</v>
      </c>
      <c r="G109" s="2"/>
      <c r="H109" s="2"/>
      <c r="I109" s="2"/>
    </row>
    <row r="110" spans="1:9" x14ac:dyDescent="0.25">
      <c r="A110" s="1">
        <v>42398</v>
      </c>
      <c r="B110" s="3">
        <v>-0.13109999999999999</v>
      </c>
      <c r="C110" s="6">
        <v>-6.0499999999999998E-2</v>
      </c>
      <c r="D110" s="7">
        <v>-3.0894728690028586E-2</v>
      </c>
      <c r="E110" s="20">
        <f>'Risk-free_rate_monthly'!B110</f>
        <v>1.7416666666666665E-3</v>
      </c>
      <c r="G110" s="2"/>
      <c r="H110" s="2"/>
      <c r="I110" s="2"/>
    </row>
    <row r="111" spans="1:9" x14ac:dyDescent="0.25">
      <c r="A111" s="1">
        <v>42429</v>
      </c>
      <c r="B111" s="3">
        <v>-8.2000000000000007E-3</v>
      </c>
      <c r="C111" s="6">
        <v>-9.5999999999999992E-3</v>
      </c>
      <c r="D111" s="7">
        <v>4.9509168191115199E-2</v>
      </c>
      <c r="E111" s="20">
        <f>'Risk-free_rate_monthly'!B111</f>
        <v>1.4833333333333332E-3</v>
      </c>
      <c r="G111" s="2"/>
      <c r="H111" s="2"/>
      <c r="I111" s="2"/>
    </row>
    <row r="112" spans="1:9" x14ac:dyDescent="0.25">
      <c r="A112" s="1">
        <v>42460</v>
      </c>
      <c r="B112" s="3">
        <v>0.1002</v>
      </c>
      <c r="C112" s="6">
        <v>6.5199999999999994E-2</v>
      </c>
      <c r="D112" s="7">
        <v>7.3714203011098108E-3</v>
      </c>
      <c r="E112" s="20">
        <f>'Risk-free_rate_monthly'!B112</f>
        <v>1.575E-3</v>
      </c>
      <c r="G112" s="2"/>
      <c r="H112" s="2"/>
      <c r="I112" s="2"/>
    </row>
    <row r="113" spans="1:9" x14ac:dyDescent="0.25">
      <c r="A113" s="1">
        <v>42489</v>
      </c>
      <c r="B113" s="3">
        <v>-7.3200000000000001E-2</v>
      </c>
      <c r="C113" s="6">
        <v>1.38E-2</v>
      </c>
      <c r="D113" s="7">
        <v>2.2290186451919072E-2</v>
      </c>
      <c r="E113" s="20">
        <f>'Risk-free_rate_monthly'!B113</f>
        <v>1.5083333333333335E-3</v>
      </c>
      <c r="G113" s="2"/>
      <c r="H113" s="2"/>
      <c r="I113" s="2"/>
    </row>
    <row r="114" spans="1:9" x14ac:dyDescent="0.25">
      <c r="A114" s="1">
        <v>42521</v>
      </c>
      <c r="B114" s="3">
        <v>-2.9600000000000001E-2</v>
      </c>
      <c r="C114" s="6">
        <v>2.3E-3</v>
      </c>
      <c r="D114" s="7">
        <v>-5.6773374041925562E-2</v>
      </c>
      <c r="E114" s="20">
        <f>'Risk-free_rate_monthly'!B114</f>
        <v>1.5083333333333335E-3</v>
      </c>
      <c r="G114" s="2"/>
      <c r="H114" s="2"/>
      <c r="I114" s="2"/>
    </row>
    <row r="115" spans="1:9" x14ac:dyDescent="0.25">
      <c r="A115" s="1">
        <v>42551</v>
      </c>
      <c r="B115" s="3">
        <v>-0.1094</v>
      </c>
      <c r="C115" s="6">
        <v>-1.2800000000000001E-2</v>
      </c>
      <c r="D115" s="7">
        <v>6.7913641980036146E-2</v>
      </c>
      <c r="E115" s="20">
        <f>'Risk-free_rate_monthly'!B115</f>
        <v>1.3666666666666669E-3</v>
      </c>
      <c r="G115" s="2"/>
      <c r="H115" s="2"/>
      <c r="I115" s="2"/>
    </row>
    <row r="116" spans="1:9" x14ac:dyDescent="0.25">
      <c r="A116" s="1">
        <v>42580</v>
      </c>
      <c r="B116" s="3">
        <v>0.1149</v>
      </c>
      <c r="C116" s="6">
        <v>4.1500000000000002E-2</v>
      </c>
      <c r="D116" s="7">
        <v>2.4685894074969825E-2</v>
      </c>
      <c r="E116" s="20">
        <f>'Risk-free_rate_monthly'!B116</f>
        <v>1.25E-3</v>
      </c>
      <c r="G116" s="2"/>
      <c r="H116" s="2"/>
      <c r="I116" s="2"/>
    </row>
    <row r="117" spans="1:9" x14ac:dyDescent="0.25">
      <c r="A117" s="1">
        <v>42613</v>
      </c>
      <c r="B117" s="3">
        <v>1.66E-2</v>
      </c>
      <c r="C117" s="6">
        <v>-1.2999999999999999E-3</v>
      </c>
      <c r="D117" s="7">
        <v>-7.7101185520061155E-3</v>
      </c>
      <c r="E117" s="20">
        <f>'Risk-free_rate_monthly'!B117</f>
        <v>1.2999999999999999E-3</v>
      </c>
      <c r="G117" s="2"/>
      <c r="H117" s="2"/>
      <c r="I117" s="2"/>
    </row>
    <row r="118" spans="1:9" x14ac:dyDescent="0.25">
      <c r="A118" s="1">
        <v>42643</v>
      </c>
      <c r="B118" s="3">
        <v>1.2500000000000001E-2</v>
      </c>
      <c r="C118" s="6">
        <v>3.5999999999999999E-3</v>
      </c>
      <c r="D118" s="7">
        <v>1.4650361417923171E-2</v>
      </c>
      <c r="E118" s="20">
        <f>'Risk-free_rate_monthly'!B118</f>
        <v>1.3583333333333331E-3</v>
      </c>
      <c r="G118" s="2"/>
      <c r="H118" s="2"/>
      <c r="I118" s="2"/>
    </row>
    <row r="119" spans="1:9" x14ac:dyDescent="0.25">
      <c r="A119" s="1">
        <v>42674</v>
      </c>
      <c r="B119" s="3">
        <v>6.8999999999999999E-3</v>
      </c>
      <c r="C119" s="6">
        <v>-2.0099999999999996E-2</v>
      </c>
      <c r="D119" s="7">
        <v>-2.3169187410192436E-3</v>
      </c>
      <c r="E119" s="20">
        <f>'Risk-free_rate_monthly'!B119</f>
        <v>1.4666666666666667E-3</v>
      </c>
      <c r="G119" s="2"/>
      <c r="H119" s="2"/>
      <c r="I119" s="2"/>
    </row>
    <row r="120" spans="1:9" x14ac:dyDescent="0.25">
      <c r="A120" s="1">
        <v>42704</v>
      </c>
      <c r="B120" s="3">
        <v>-7.2999999999999995E-2</v>
      </c>
      <c r="C120" s="6">
        <v>1.2500000000000001E-2</v>
      </c>
      <c r="D120" s="7">
        <v>7.9016548443956072E-2</v>
      </c>
      <c r="E120" s="20">
        <f>'Risk-free_rate_monthly'!B120</f>
        <v>1.7833333333333332E-3</v>
      </c>
      <c r="G120" s="2"/>
      <c r="H120" s="2"/>
      <c r="I120" s="2"/>
    </row>
    <row r="121" spans="1:9" x14ac:dyDescent="0.25">
      <c r="A121" s="1">
        <v>42734</v>
      </c>
      <c r="B121" s="3">
        <v>0.11840000000000001</v>
      </c>
      <c r="C121" s="6">
        <v>2.29E-2</v>
      </c>
      <c r="D121" s="7">
        <v>4.7251736365653231E-3</v>
      </c>
      <c r="E121" s="20">
        <f>'Risk-free_rate_monthly'!B121</f>
        <v>2.075E-3</v>
      </c>
      <c r="G121" s="2"/>
      <c r="H121" s="2"/>
      <c r="I121" s="2"/>
    </row>
    <row r="122" spans="1:9" x14ac:dyDescent="0.25">
      <c r="A122" s="1">
        <v>42766</v>
      </c>
      <c r="B122" s="3">
        <v>1.2999999999999999E-3</v>
      </c>
      <c r="C122" s="6">
        <v>2.35E-2</v>
      </c>
      <c r="D122" s="7">
        <v>2.5929133863721743E-2</v>
      </c>
      <c r="E122" s="20">
        <f>'Risk-free_rate_monthly'!B122</f>
        <v>2.0249999999999999E-3</v>
      </c>
      <c r="G122" s="2"/>
      <c r="H122" s="2"/>
      <c r="I122" s="2"/>
    </row>
    <row r="123" spans="1:9" x14ac:dyDescent="0.25">
      <c r="A123" s="1">
        <v>42794</v>
      </c>
      <c r="B123" s="3">
        <v>-4.5699999999999998E-2</v>
      </c>
      <c r="C123" s="6">
        <v>2.58E-2</v>
      </c>
      <c r="D123" s="7">
        <v>4.0429557087593687E-2</v>
      </c>
      <c r="E123" s="20">
        <f>'Risk-free_rate_monthly'!B123</f>
        <v>2.0166666666666666E-3</v>
      </c>
      <c r="G123" s="2"/>
      <c r="H123" s="2"/>
      <c r="I123" s="2"/>
    </row>
    <row r="124" spans="1:9" x14ac:dyDescent="0.25">
      <c r="A124" s="1">
        <v>42825</v>
      </c>
      <c r="B124" s="3">
        <v>7.1999999999999998E-3</v>
      </c>
      <c r="C124" s="6">
        <v>8.199999999999999E-3</v>
      </c>
      <c r="D124" s="7">
        <v>1.0163320802614687E-2</v>
      </c>
      <c r="E124" s="20">
        <f>'Risk-free_rate_monthly'!B124</f>
        <v>2.0666666666666667E-3</v>
      </c>
      <c r="G124" s="2"/>
      <c r="H124" s="2"/>
      <c r="I124" s="2"/>
    </row>
    <row r="125" spans="1:9" x14ac:dyDescent="0.25">
      <c r="A125" s="1">
        <v>42855</v>
      </c>
      <c r="B125" s="3">
        <v>1.11E-2</v>
      </c>
      <c r="C125" s="6">
        <v>1.3300000000000001E-2</v>
      </c>
      <c r="D125" s="7">
        <v>1.4234576699238156E-2</v>
      </c>
      <c r="E125" s="20">
        <f>'Risk-free_rate_monthly'!B125</f>
        <v>1.8166666666666667E-3</v>
      </c>
      <c r="G125" s="2"/>
      <c r="H125" s="2"/>
      <c r="I125" s="2"/>
    </row>
    <row r="126" spans="1:9" x14ac:dyDescent="0.25">
      <c r="A126" s="1">
        <v>42886</v>
      </c>
      <c r="B126" s="3">
        <v>-3.0099999999999998E-2</v>
      </c>
      <c r="C126" s="6">
        <v>1.78E-2</v>
      </c>
      <c r="D126" s="7">
        <v>-2.2983597611342794E-2</v>
      </c>
      <c r="E126" s="20">
        <f>'Risk-free_rate_monthly'!B126</f>
        <v>1.9166666666666666E-3</v>
      </c>
      <c r="G126" s="2"/>
      <c r="H126" s="2"/>
      <c r="I126" s="2"/>
    </row>
    <row r="127" spans="1:9" x14ac:dyDescent="0.25">
      <c r="A127" s="1">
        <v>42916</v>
      </c>
      <c r="B127" s="3">
        <v>-6.1999999999999998E-3</v>
      </c>
      <c r="C127" s="6">
        <v>2.5000000000000001E-3</v>
      </c>
      <c r="D127" s="7">
        <v>-1.6784430093680393E-2</v>
      </c>
      <c r="E127" s="20">
        <f>'Risk-free_rate_monthly'!B127</f>
        <v>1.825E-3</v>
      </c>
      <c r="G127" s="2"/>
      <c r="H127" s="2"/>
      <c r="I127" s="2"/>
    </row>
    <row r="128" spans="1:9" x14ac:dyDescent="0.25">
      <c r="A128" s="1">
        <v>42947</v>
      </c>
      <c r="B128" s="3">
        <v>-4.0099999999999997E-2</v>
      </c>
      <c r="C128" s="6">
        <v>2.3300000000000001E-2</v>
      </c>
      <c r="D128" s="7">
        <v>-5.1500964248138072E-3</v>
      </c>
      <c r="E128" s="20">
        <f>'Risk-free_rate_monthly'!B128</f>
        <v>1.9333333333333331E-3</v>
      </c>
      <c r="G128" s="2"/>
      <c r="H128" s="2"/>
      <c r="I128" s="2"/>
    </row>
    <row r="129" spans="1:9" x14ac:dyDescent="0.25">
      <c r="A129" s="1">
        <v>42978</v>
      </c>
      <c r="B129" s="3">
        <v>2.8199999999999999E-2</v>
      </c>
      <c r="C129" s="6">
        <v>-7.000000000000001E-4</v>
      </c>
      <c r="D129" s="7">
        <v>6.4120004744814163E-2</v>
      </c>
      <c r="E129" s="20">
        <f>'Risk-free_rate_monthly'!B129</f>
        <v>1.8416666666666668E-3</v>
      </c>
      <c r="G129" s="2"/>
      <c r="H129" s="2"/>
      <c r="I129" s="2"/>
    </row>
    <row r="130" spans="1:9" x14ac:dyDescent="0.25">
      <c r="A130" s="1">
        <v>43008</v>
      </c>
      <c r="B130" s="3">
        <v>8.3799999999999999E-2</v>
      </c>
      <c r="C130" s="6">
        <v>2.0799999999999999E-2</v>
      </c>
      <c r="D130" s="7">
        <v>3.1235039590833992E-2</v>
      </c>
      <c r="E130" s="20">
        <f>'Risk-free_rate_monthly'!B130</f>
        <v>1.8333333333333333E-3</v>
      </c>
      <c r="G130" s="2"/>
      <c r="H130" s="2"/>
      <c r="I130" s="2"/>
    </row>
    <row r="131" spans="1:9" x14ac:dyDescent="0.25">
      <c r="A131" s="1">
        <v>43039</v>
      </c>
      <c r="B131" s="3">
        <v>5.3600000000000002E-2</v>
      </c>
      <c r="C131" s="6">
        <v>1.8100000000000002E-2</v>
      </c>
      <c r="D131" s="7">
        <v>-1.5540175465712427E-2</v>
      </c>
      <c r="E131" s="20">
        <f>'Risk-free_rate_monthly'!B131</f>
        <v>1.9666666666666665E-3</v>
      </c>
      <c r="G131" s="2"/>
      <c r="H131" s="2"/>
      <c r="I131" s="2"/>
    </row>
    <row r="132" spans="1:9" x14ac:dyDescent="0.25">
      <c r="A132" s="1">
        <v>43069</v>
      </c>
      <c r="B132" s="3">
        <v>-3.3700000000000001E-2</v>
      </c>
      <c r="C132" s="6">
        <v>1.9900000000000001E-2</v>
      </c>
      <c r="D132" s="7">
        <v>-8.1650015717633188E-3</v>
      </c>
      <c r="E132" s="20">
        <f>'Risk-free_rate_monthly'!B132</f>
        <v>1.9583333333333332E-3</v>
      </c>
      <c r="G132" s="2"/>
      <c r="H132" s="2"/>
      <c r="I132" s="2"/>
    </row>
    <row r="133" spans="1:9" x14ac:dyDescent="0.25">
      <c r="A133" s="1">
        <v>43100</v>
      </c>
      <c r="B133" s="3">
        <v>3.6400000000000002E-2</v>
      </c>
      <c r="C133" s="6">
        <v>1.26E-2</v>
      </c>
      <c r="D133" s="7">
        <v>0</v>
      </c>
      <c r="E133" s="20">
        <f>'Risk-free_rate_monthly'!B133</f>
        <v>2E-3</v>
      </c>
      <c r="G133" s="2"/>
      <c r="H133" s="2"/>
      <c r="I133" s="2"/>
    </row>
    <row r="134" spans="1:9" x14ac:dyDescent="0.25">
      <c r="B134" s="3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7B37-D8AB-4552-89EF-C0F9640FBF36}">
  <dimension ref="A1:D2"/>
  <sheetViews>
    <sheetView workbookViewId="0">
      <selection activeCell="D24" sqref="D24:E24"/>
    </sheetView>
  </sheetViews>
  <sheetFormatPr defaultColWidth="11.42578125" defaultRowHeight="15" x14ac:dyDescent="0.25"/>
  <cols>
    <col min="1" max="1" width="19.7109375" customWidth="1"/>
    <col min="2" max="2" width="19.28515625" customWidth="1"/>
    <col min="4" max="4" width="33" customWidth="1"/>
  </cols>
  <sheetData>
    <row r="1" spans="1:4" x14ac:dyDescent="0.25">
      <c r="A1" s="22" t="s">
        <v>10</v>
      </c>
      <c r="B1" s="22" t="s">
        <v>11</v>
      </c>
      <c r="C1" s="22" t="s">
        <v>12</v>
      </c>
      <c r="D1" s="22" t="s">
        <v>13</v>
      </c>
    </row>
    <row r="2" spans="1:4" x14ac:dyDescent="0.25">
      <c r="A2" s="2">
        <f>'Risk-free_rate_monthly'!B133*12</f>
        <v>2.4E-2</v>
      </c>
      <c r="B2">
        <f>'Scatter Plot'!L31</f>
        <v>0</v>
      </c>
      <c r="C2" s="2">
        <f>0.05</f>
        <v>0.05</v>
      </c>
      <c r="D2" s="2">
        <f>A2+B2*C2</f>
        <v>2.4E-2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 Returns Daimler</vt:lpstr>
      <vt:lpstr>Monthly Index Returns</vt:lpstr>
      <vt:lpstr>Risk-free_rate_monthly</vt:lpstr>
      <vt:lpstr>Scatter Plot</vt:lpstr>
      <vt:lpstr>Cost of 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David Osterrieder</cp:lastModifiedBy>
  <dcterms:created xsi:type="dcterms:W3CDTF">2017-02-23T20:20:41Z</dcterms:created>
  <dcterms:modified xsi:type="dcterms:W3CDTF">2026-06-08T19:44:16Z</dcterms:modified>
</cp:coreProperties>
</file>