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nas.ads.mwn.de\ge74meb\TUM-PC\Desktop\Works\P&amp;L_Teaching\SS23\Exercise\2. Facility Location Problems &amp; Transportation and Shipping\"/>
    </mc:Choice>
  </mc:AlternateContent>
  <bookViews>
    <workbookView xWindow="-120" yWindow="-120" windowWidth="29040" windowHeight="15840"/>
  </bookViews>
  <sheets>
    <sheet name="Task 1a" sheetId="15" r:id="rId1"/>
    <sheet name="Task 1b" sheetId="16" r:id="rId2"/>
    <sheet name="Task 2a" sheetId="10" r:id="rId3"/>
    <sheet name="Task 2b" sheetId="18" r:id="rId4"/>
    <sheet name="Extra" sheetId="8" state="hidden" r:id="rId5"/>
  </sheets>
  <definedNames>
    <definedName name="solver_adj" localSheetId="1" hidden="1">'Task 1b'!$E$53:$G$54</definedName>
    <definedName name="solver_adj" localSheetId="2" hidden="1">'Task 2a'!$D$11:$G$11</definedName>
    <definedName name="solver_adj" localSheetId="3" hidden="1">'Task 2b'!#REF!</definedName>
    <definedName name="solver_cvg" localSheetId="1" hidden="1">0.0001</definedName>
    <definedName name="solver_cvg" localSheetId="2" hidden="1">0.0001</definedName>
    <definedName name="solver_cvg" localSheetId="3" hidden="1">0.0001</definedName>
    <definedName name="solver_drv" localSheetId="1" hidden="1">2</definedName>
    <definedName name="solver_drv" localSheetId="2" hidden="1">2</definedName>
    <definedName name="solver_drv" localSheetId="3" hidden="1">2</definedName>
    <definedName name="solver_eng" localSheetId="1" hidden="1">2</definedName>
    <definedName name="solver_eng" localSheetId="2" hidden="1">2</definedName>
    <definedName name="solver_eng" localSheetId="3" hidden="1">2</definedName>
    <definedName name="solver_est" localSheetId="1" hidden="1">1</definedName>
    <definedName name="solver_est" localSheetId="2" hidden="1">1</definedName>
    <definedName name="solver_est" localSheetId="3" hidden="1">1</definedName>
    <definedName name="solver_itr" localSheetId="1" hidden="1">2147483647</definedName>
    <definedName name="solver_itr" localSheetId="2" hidden="1">2147483647</definedName>
    <definedName name="solver_itr" localSheetId="3" hidden="1">2147483647</definedName>
    <definedName name="solver_lhs1" localSheetId="1" hidden="1">'Task 1b'!$E$55:$F$55</definedName>
    <definedName name="solver_lhs1" localSheetId="2" hidden="1">'Task 2a'!$I$13:$I$17</definedName>
    <definedName name="solver_lhs1" localSheetId="3" hidden="1">'Task 2b'!#REF!</definedName>
    <definedName name="solver_lhs2" localSheetId="1" hidden="1">'Task 1b'!$G$53:$G$54</definedName>
    <definedName name="solver_lhs2" localSheetId="2" hidden="1">'Task 2a'!$I$13:$I$17</definedName>
    <definedName name="solver_lhs2" localSheetId="3" hidden="1">'Task 2b'!$I$17:$I$21</definedName>
    <definedName name="solver_lhs3" localSheetId="1" hidden="1">'Task 1b'!$H$53:$H$54</definedName>
    <definedName name="solver_lhs4" localSheetId="1" hidden="1">'Task 1b'!$H$53:$H$54</definedName>
    <definedName name="solver_mip" localSheetId="1" hidden="1">2147483647</definedName>
    <definedName name="solver_mip" localSheetId="2" hidden="1">2147483647</definedName>
    <definedName name="solver_mip" localSheetId="3" hidden="1">2147483647</definedName>
    <definedName name="solver_mni" localSheetId="1" hidden="1">30</definedName>
    <definedName name="solver_mni" localSheetId="2" hidden="1">30</definedName>
    <definedName name="solver_mni" localSheetId="3" hidden="1">30</definedName>
    <definedName name="solver_mrt" localSheetId="1" hidden="1">0.075</definedName>
    <definedName name="solver_mrt" localSheetId="2" hidden="1">0.075</definedName>
    <definedName name="solver_mrt" localSheetId="3" hidden="1">0.075</definedName>
    <definedName name="solver_msl" localSheetId="1" hidden="1">2</definedName>
    <definedName name="solver_msl" localSheetId="2" hidden="1">2</definedName>
    <definedName name="solver_msl" localSheetId="3" hidden="1">2</definedName>
    <definedName name="solver_neg" localSheetId="1" hidden="1">1</definedName>
    <definedName name="solver_neg" localSheetId="2" hidden="1">1</definedName>
    <definedName name="solver_neg" localSheetId="3" hidden="1">1</definedName>
    <definedName name="solver_nod" localSheetId="1" hidden="1">2147483647</definedName>
    <definedName name="solver_nod" localSheetId="2" hidden="1">2147483647</definedName>
    <definedName name="solver_nod" localSheetId="3" hidden="1">2147483647</definedName>
    <definedName name="solver_num" localSheetId="1" hidden="1">3</definedName>
    <definedName name="solver_num" localSheetId="2" hidden="1">0</definedName>
    <definedName name="solver_num" localSheetId="3" hidden="1">2</definedName>
    <definedName name="solver_nwt" localSheetId="1" hidden="1">1</definedName>
    <definedName name="solver_nwt" localSheetId="2" hidden="1">1</definedName>
    <definedName name="solver_nwt" localSheetId="3" hidden="1">1</definedName>
    <definedName name="solver_opt" localSheetId="1" hidden="1">'Task 1b'!$D$60</definedName>
    <definedName name="solver_opt" localSheetId="3" hidden="1">'Task 2b'!$D$25</definedName>
    <definedName name="solver_pre" localSheetId="1" hidden="1">0.000001</definedName>
    <definedName name="solver_pre" localSheetId="2" hidden="1">0.000001</definedName>
    <definedName name="solver_pre" localSheetId="3" hidden="1">0.000001</definedName>
    <definedName name="solver_rbv" localSheetId="1" hidden="1">2</definedName>
    <definedName name="solver_rbv" localSheetId="2" hidden="1">2</definedName>
    <definedName name="solver_rbv" localSheetId="3" hidden="1">2</definedName>
    <definedName name="solver_rel1" localSheetId="1" hidden="1">3</definedName>
    <definedName name="solver_rel1" localSheetId="2" hidden="1">3</definedName>
    <definedName name="solver_rel1" localSheetId="3" hidden="1">5</definedName>
    <definedName name="solver_rel2" localSheetId="1" hidden="1">5</definedName>
    <definedName name="solver_rel2" localSheetId="2" hidden="1">3</definedName>
    <definedName name="solver_rel2" localSheetId="3" hidden="1">3</definedName>
    <definedName name="solver_rel3" localSheetId="1" hidden="1">1</definedName>
    <definedName name="solver_rel4" localSheetId="1" hidden="1">1</definedName>
    <definedName name="solver_rhs1" localSheetId="1" hidden="1">'Task 1b'!$E$42:$F$42</definedName>
    <definedName name="solver_rhs1" localSheetId="2" hidden="1">'Task 2a'!$K$13:$K$17</definedName>
    <definedName name="solver_rhs1" localSheetId="3" hidden="1">"binary"</definedName>
    <definedName name="solver_rhs2" localSheetId="1" hidden="1">"binary"</definedName>
    <definedName name="solver_rhs2" localSheetId="2" hidden="1">'Task 2a'!$K$13:$K$17</definedName>
    <definedName name="solver_rhs2" localSheetId="3" hidden="1">'Task 2b'!$K$17:$K$21</definedName>
    <definedName name="solver_rhs3" localSheetId="1" hidden="1">'Task 1b'!$J$53:$J$54</definedName>
    <definedName name="solver_rhs4" localSheetId="1" hidden="1">'Task 1b'!$J$53:$J$54</definedName>
    <definedName name="solver_rlx" localSheetId="1" hidden="1">2</definedName>
    <definedName name="solver_rlx" localSheetId="2" hidden="1">2</definedName>
    <definedName name="solver_rlx" localSheetId="3" hidden="1">2</definedName>
    <definedName name="solver_rsd" localSheetId="1" hidden="1">0</definedName>
    <definedName name="solver_rsd" localSheetId="2" hidden="1">0</definedName>
    <definedName name="solver_rsd" localSheetId="3" hidden="1">0</definedName>
    <definedName name="solver_scl" localSheetId="1" hidden="1">2</definedName>
    <definedName name="solver_scl" localSheetId="2" hidden="1">2</definedName>
    <definedName name="solver_scl" localSheetId="3" hidden="1">2</definedName>
    <definedName name="solver_sho" localSheetId="1" hidden="1">2</definedName>
    <definedName name="solver_sho" localSheetId="2" hidden="1">2</definedName>
    <definedName name="solver_sho" localSheetId="3" hidden="1">2</definedName>
    <definedName name="solver_ssz" localSheetId="1" hidden="1">100</definedName>
    <definedName name="solver_ssz" localSheetId="2" hidden="1">100</definedName>
    <definedName name="solver_ssz" localSheetId="3" hidden="1">100</definedName>
    <definedName name="solver_tim" localSheetId="1" hidden="1">2147483647</definedName>
    <definedName name="solver_tim" localSheetId="2" hidden="1">2147483647</definedName>
    <definedName name="solver_tim" localSheetId="3" hidden="1">2147483647</definedName>
    <definedName name="solver_tol" localSheetId="1" hidden="1">0.01</definedName>
    <definedName name="solver_tol" localSheetId="2" hidden="1">0.01</definedName>
    <definedName name="solver_tol" localSheetId="3" hidden="1">0.01</definedName>
    <definedName name="solver_typ" localSheetId="1" hidden="1">2</definedName>
    <definedName name="solver_typ" localSheetId="2" hidden="1">2</definedName>
    <definedName name="solver_typ" localSheetId="3" hidden="1">2</definedName>
    <definedName name="solver_val" localSheetId="1" hidden="1">0</definedName>
    <definedName name="solver_val" localSheetId="2" hidden="1">0</definedName>
    <definedName name="solver_val" localSheetId="3" hidden="1">0</definedName>
    <definedName name="solver_ver" localSheetId="1" hidden="1">3</definedName>
    <definedName name="solver_ver" localSheetId="2" hidden="1">3</definedName>
    <definedName name="solver_ver" localSheetId="3" hidden="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10" l="1"/>
  <c r="I16" i="10"/>
  <c r="I17" i="10"/>
  <c r="I14" i="10"/>
  <c r="I13" i="10"/>
  <c r="E55" i="16"/>
  <c r="H53" i="16" l="1"/>
  <c r="F55" i="16"/>
  <c r="J53" i="16"/>
  <c r="J54" i="16"/>
  <c r="H54" i="16"/>
  <c r="D60" i="16"/>
</calcChain>
</file>

<file path=xl/sharedStrings.xml><?xml version="1.0" encoding="utf-8"?>
<sst xmlns="http://schemas.openxmlformats.org/spreadsheetml/2006/main" count="96" uniqueCount="63">
  <si>
    <t>Parameters</t>
  </si>
  <si>
    <t>Customer</t>
  </si>
  <si>
    <t>j=1</t>
  </si>
  <si>
    <t>j=2</t>
  </si>
  <si>
    <t>Plant</t>
  </si>
  <si>
    <t>i=1</t>
  </si>
  <si>
    <t>i=2</t>
  </si>
  <si>
    <t>Decision variables</t>
  </si>
  <si>
    <t>Objective function</t>
  </si>
  <si>
    <t xml:space="preserve">Min z = </t>
  </si>
  <si>
    <t>Constraints</t>
  </si>
  <si>
    <t>Demand satisfaction</t>
  </si>
  <si>
    <t>Capacity constrains</t>
  </si>
  <si>
    <t xml:space="preserve">1a </t>
  </si>
  <si>
    <t>1b</t>
  </si>
  <si>
    <t>Assume you have two potential plant locations and two important customers, whose demand you must meet. Your decisions are 
(1) which location(s) do you want to use?; and 
(2), using this/these plant(s), how do you want to serve the market?
The figure to the right indicates your network. Numbers indicate distances in km. The capacity of plant 1 is 100 products per day, plant 2 has a capacity of 80 units per day. Customer 1 has a demand of 40 units per day, whereas customer 2 demands 50 units per day. Opening up either plant costs you 1,000,000€, which is a one-off costs. In addition, you incur regular costs. Producing (regardless of the location) costs you 15€/product. For distance you pay 0.20€ per product per km. Your firm will ship products each day (i.e., 365 days per year). You are expecting to be operating with stable demand for the next 10 years. Your discount factor is 10% and, for simplicity, you incur all costs at the end of a year.
b) 	Solve the CPLP using Excel.</t>
  </si>
  <si>
    <t>Working days/ year</t>
  </si>
  <si>
    <t>Operational years</t>
  </si>
  <si>
    <t>SUM</t>
  </si>
  <si>
    <t>discount factor</t>
  </si>
  <si>
    <t>Costs incur at the end of each year.</t>
  </si>
  <si>
    <t>Cost to open 1 new plant</t>
  </si>
  <si>
    <t>Production cost (/unit)</t>
  </si>
  <si>
    <t>Logistics cost (/unit/km)</t>
  </si>
  <si>
    <t>Discount factor</t>
  </si>
  <si>
    <t>--&gt;This cost is what you incur per unit that you decide to ship from i to j discounted sum for 10 years if you ship it daily.</t>
  </si>
  <si>
    <t>r</t>
  </si>
  <si>
    <t>Year (n)</t>
  </si>
  <si>
    <r>
      <t>Distance</t>
    </r>
    <r>
      <rPr>
        <i/>
        <vertAlign val="subscript"/>
        <sz val="13"/>
        <color rgb="FF000000"/>
        <rFont val="Cambria"/>
        <family val="1"/>
      </rPr>
      <t xml:space="preserve"> </t>
    </r>
    <r>
      <rPr>
        <b/>
        <sz val="10"/>
        <color theme="1"/>
        <rFont val="Century Gothic"/>
        <family val="1"/>
      </rPr>
      <t>(km)</t>
    </r>
  </si>
  <si>
    <r>
      <t>Daily Demand, D</t>
    </r>
    <r>
      <rPr>
        <b/>
        <vertAlign val="subscript"/>
        <sz val="10"/>
        <color rgb="FF000000"/>
        <rFont val="Century Gothic"/>
        <family val="2"/>
      </rPr>
      <t>j</t>
    </r>
  </si>
  <si>
    <r>
      <t>Daily Capacity, K</t>
    </r>
    <r>
      <rPr>
        <b/>
        <vertAlign val="subscript"/>
        <sz val="10"/>
        <color rgb="FF000000"/>
        <rFont val="Century Gothic"/>
        <family val="2"/>
      </rPr>
      <t>i</t>
    </r>
  </si>
  <si>
    <r>
      <t>Fixed cost of opening, f</t>
    </r>
    <r>
      <rPr>
        <b/>
        <vertAlign val="subscript"/>
        <sz val="10"/>
        <color rgb="FF000000"/>
        <rFont val="Century Gothic"/>
        <family val="2"/>
      </rPr>
      <t>i</t>
    </r>
  </si>
  <si>
    <r>
      <t>c</t>
    </r>
    <r>
      <rPr>
        <b/>
        <i/>
        <vertAlign val="subscript"/>
        <sz val="10"/>
        <color rgb="FF000000"/>
        <rFont val="Cambria"/>
        <family val="1"/>
      </rPr>
      <t xml:space="preserve">ij </t>
    </r>
    <r>
      <rPr>
        <b/>
        <sz val="9"/>
        <color rgb="FF000000"/>
        <rFont val="Century Gothic"/>
        <family val="2"/>
      </rPr>
      <t>= Cost(/unit/day) x Discount factor x 365</t>
    </r>
  </si>
  <si>
    <t>Sum of Production at each plant</t>
  </si>
  <si>
    <r>
      <t>Capacity 
K</t>
    </r>
    <r>
      <rPr>
        <b/>
        <vertAlign val="subscript"/>
        <sz val="10"/>
        <color rgb="FF000000"/>
        <rFont val="Century Gothic"/>
        <family val="2"/>
      </rPr>
      <t xml:space="preserve">i </t>
    </r>
    <r>
      <rPr>
        <b/>
        <sz val="10"/>
        <color rgb="FF000000"/>
        <rFont val="Century Gothic"/>
        <family val="2"/>
      </rPr>
      <t>x y</t>
    </r>
    <r>
      <rPr>
        <b/>
        <vertAlign val="subscript"/>
        <sz val="10"/>
        <color rgb="FF000000"/>
        <rFont val="Century Gothic"/>
        <family val="2"/>
      </rPr>
      <t>i</t>
    </r>
  </si>
  <si>
    <t>Demand Fulfilled</t>
  </si>
  <si>
    <r>
      <t xml:space="preserve">a. </t>
    </r>
    <r>
      <rPr>
        <b/>
        <sz val="11"/>
        <color theme="1"/>
        <rFont val="Century Gothic"/>
        <family val="2"/>
      </rPr>
      <t>Excel solver</t>
    </r>
  </si>
  <si>
    <r>
      <t xml:space="preserve">a. </t>
    </r>
    <r>
      <rPr>
        <b/>
        <sz val="11"/>
        <color theme="1"/>
        <rFont val="Century Gothic"/>
        <family val="2"/>
      </rPr>
      <t>Dijkstra's Algorithm</t>
    </r>
  </si>
  <si>
    <r>
      <t xml:space="preserve">b. </t>
    </r>
    <r>
      <rPr>
        <b/>
        <sz val="11"/>
        <color theme="1"/>
        <rFont val="Century Gothic"/>
        <family val="2"/>
      </rPr>
      <t>CPLP</t>
    </r>
  </si>
  <si>
    <t>i=3</t>
  </si>
  <si>
    <t>i=4</t>
  </si>
  <si>
    <r>
      <t>min  f</t>
    </r>
    <r>
      <rPr>
        <b/>
        <vertAlign val="subscript"/>
        <sz val="14"/>
        <color rgb="FF0070C0"/>
        <rFont val="Calibri"/>
        <family val="2"/>
        <scheme val="minor"/>
      </rPr>
      <t>i</t>
    </r>
    <r>
      <rPr>
        <b/>
        <sz val="14"/>
        <color rgb="FF0070C0"/>
        <rFont val="Calibri"/>
        <family val="2"/>
        <scheme val="minor"/>
      </rPr>
      <t>y</t>
    </r>
    <r>
      <rPr>
        <b/>
        <vertAlign val="subscript"/>
        <sz val="14"/>
        <color rgb="FF0070C0"/>
        <rFont val="Calibri"/>
        <family val="2"/>
        <scheme val="minor"/>
      </rPr>
      <t>i</t>
    </r>
  </si>
  <si>
    <r>
      <t>a</t>
    </r>
    <r>
      <rPr>
        <b/>
        <vertAlign val="subscript"/>
        <sz val="12"/>
        <color theme="1"/>
        <rFont val="Century Gothic"/>
        <family val="2"/>
      </rPr>
      <t>ij</t>
    </r>
    <r>
      <rPr>
        <b/>
        <sz val="12"/>
        <color theme="1"/>
        <rFont val="Century Gothic"/>
        <family val="2"/>
      </rPr>
      <t>.y</t>
    </r>
    <r>
      <rPr>
        <b/>
        <vertAlign val="subscript"/>
        <sz val="12"/>
        <color theme="1"/>
        <rFont val="Century Gothic"/>
        <family val="2"/>
      </rPr>
      <t>i</t>
    </r>
  </si>
  <si>
    <r>
      <t>y</t>
    </r>
    <r>
      <rPr>
        <b/>
        <vertAlign val="subscript"/>
        <sz val="12"/>
        <color theme="1"/>
        <rFont val="Century Gothic"/>
        <family val="2"/>
      </rPr>
      <t>i</t>
    </r>
  </si>
  <si>
    <r>
      <t>f</t>
    </r>
    <r>
      <rPr>
        <b/>
        <vertAlign val="subscript"/>
        <sz val="12"/>
        <rFont val="Calibri"/>
        <family val="2"/>
        <scheme val="minor"/>
      </rPr>
      <t>i</t>
    </r>
  </si>
  <si>
    <t>2a</t>
  </si>
  <si>
    <t xml:space="preserve">Solve the following location covering problem using heuristics proposed in lectures. Does the heuristics lead to optimal solution for this problem?
</t>
  </si>
  <si>
    <t>2b</t>
  </si>
  <si>
    <t xml:space="preserve">Solve the following location covering problem using excel solver.
</t>
  </si>
  <si>
    <r>
      <t xml:space="preserve">b. </t>
    </r>
    <r>
      <rPr>
        <b/>
        <sz val="11"/>
        <color theme="1"/>
        <rFont val="Century Gothic"/>
        <family val="2"/>
      </rPr>
      <t>Heuristics</t>
    </r>
  </si>
  <si>
    <r>
      <t>f</t>
    </r>
    <r>
      <rPr>
        <vertAlign val="subscript"/>
        <sz val="12"/>
        <color theme="1"/>
        <rFont val="Century Gothic"/>
        <family val="2"/>
      </rPr>
      <t xml:space="preserve">1 </t>
    </r>
    <r>
      <rPr>
        <sz val="12"/>
        <color theme="1"/>
        <rFont val="Century Gothic"/>
        <family val="2"/>
      </rPr>
      <t>= 2</t>
    </r>
  </si>
  <si>
    <r>
      <t>f</t>
    </r>
    <r>
      <rPr>
        <vertAlign val="subscript"/>
        <sz val="12"/>
        <color theme="1"/>
        <rFont val="Century Gothic"/>
        <family val="2"/>
      </rPr>
      <t xml:space="preserve">2 </t>
    </r>
    <r>
      <rPr>
        <sz val="12"/>
        <color theme="1"/>
        <rFont val="Century Gothic"/>
        <family val="2"/>
      </rPr>
      <t>= 0</t>
    </r>
  </si>
  <si>
    <r>
      <t>f</t>
    </r>
    <r>
      <rPr>
        <vertAlign val="subscript"/>
        <sz val="12"/>
        <color theme="1"/>
        <rFont val="Century Gothic"/>
        <family val="2"/>
      </rPr>
      <t xml:space="preserve">3 </t>
    </r>
    <r>
      <rPr>
        <sz val="12"/>
        <color theme="1"/>
        <rFont val="Century Gothic"/>
        <family val="2"/>
      </rPr>
      <t>= 1</t>
    </r>
  </si>
  <si>
    <r>
      <t>f</t>
    </r>
    <r>
      <rPr>
        <vertAlign val="subscript"/>
        <sz val="12"/>
        <color theme="1"/>
        <rFont val="Century Gothic"/>
        <family val="2"/>
      </rPr>
      <t xml:space="preserve">4 </t>
    </r>
    <r>
      <rPr>
        <sz val="12"/>
        <color theme="1"/>
        <rFont val="Century Gothic"/>
        <family val="2"/>
      </rPr>
      <t>= 4</t>
    </r>
  </si>
  <si>
    <t>Assume you have two potential plant locations and two important customers, whose demand you must meet. The figure below indicates your network. Numbers indicate distances in km. Apply Dijktra’s algorithm to find the shortest path from P1 to C1.</t>
  </si>
  <si>
    <t>Cost of producing and transporting + cost of opening a plant</t>
  </si>
  <si>
    <r>
      <t>Amount to ship from plant i to customer j, x</t>
    </r>
    <r>
      <rPr>
        <b/>
        <i/>
        <vertAlign val="subscript"/>
        <sz val="10"/>
        <color rgb="FF000000"/>
        <rFont val="Cambria"/>
        <family val="1"/>
      </rPr>
      <t xml:space="preserve">ij </t>
    </r>
  </si>
  <si>
    <t>= (cij * amount to be shipped)+(if we are opening a plant then 1,000,000 otherwise 0)</t>
  </si>
  <si>
    <t>To find out</t>
  </si>
  <si>
    <t>--&gt;</t>
  </si>
  <si>
    <t>&gt;=</t>
  </si>
  <si>
    <t>Cost (/unit/day)
= Production + Logistics cost</t>
  </si>
  <si>
    <r>
      <t>Open Facility
y</t>
    </r>
    <r>
      <rPr>
        <b/>
        <vertAlign val="subscript"/>
        <sz val="10"/>
        <color rgb="FF000000"/>
        <rFont val="Century Gothic"/>
        <family val="2"/>
      </rPr>
      <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</si>
</sst>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2]\ * #,##0_);_([$€-2]\ * \(#,##0\);_([$€-2]\ * &quot;-&quot;??_);_(@_)"/>
    <numFmt numFmtId="165" formatCode="_([$€-2]\ * #,##0.00_);_([$€-2]\ * \(#,##0.00\);_([$€-2]\ * &quot;-&quot;??_);_(@_)"/>
    <numFmt numFmtId="166" formatCode="_-[$$-409]* #,##0_ ;_-[$$-409]* \-#,##0\ ;_-[$$-409]* &quot;-&quot;??_ ;_-@_ "/>
    <numFmt numFmtId="167" formatCode="_-* #,##0\ [$€-407]_-;\-* #,##0\ [$€-407]_-;_-* &quot;-&quot;??\ [$€-407]_-;_-@_-"/>
    <numFmt numFmtId="168" formatCode="#,##0\ &quot;€&quot;"/>
    <numFmt numFmtId="169" formatCode="_([$€-2]\ * #,##0.0_);_([$€-2]\ * \(#,##0.0\);_([$€-2]\ * &quot;-&quot;??_);_(@_)"/>
    <numFmt numFmtId="170" formatCode="_([$$-409]* #,##0.00_);_([$$-409]* \(#,##0.00\);_([$$-409]* &quot;-&quot;??_);_(@_)"/>
  </numFmts>
  <fonts count="3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i/>
      <sz val="11"/>
      <color rgb="FF7F7F7F"/>
      <name val="Calibri"/>
      <family val="2"/>
      <scheme val="minor"/>
    </font>
    <font>
      <sz val="16"/>
      <color theme="1"/>
      <name val="Arial"/>
      <family val="2"/>
    </font>
    <font>
      <sz val="11"/>
      <color theme="1"/>
      <name val="Century Gothic"/>
      <family val="2"/>
    </font>
    <font>
      <b/>
      <sz val="11"/>
      <color rgb="FF0070C0"/>
      <name val="Century Gothic"/>
      <family val="2"/>
    </font>
    <font>
      <sz val="11"/>
      <color rgb="FF0070C0"/>
      <name val="Arial"/>
      <family val="2"/>
    </font>
    <font>
      <i/>
      <sz val="13"/>
      <color theme="1"/>
      <name val="Cambria"/>
      <family val="1"/>
    </font>
    <font>
      <i/>
      <sz val="13"/>
      <color rgb="FF000000"/>
      <name val="Cambria"/>
      <family val="1"/>
    </font>
    <font>
      <i/>
      <vertAlign val="subscript"/>
      <sz val="13"/>
      <color rgb="FF000000"/>
      <name val="Cambria"/>
      <family val="1"/>
    </font>
    <font>
      <sz val="8"/>
      <name val="Calibri"/>
      <family val="2"/>
      <scheme val="minor"/>
    </font>
    <font>
      <b/>
      <sz val="11"/>
      <color theme="1"/>
      <name val="Century Gothic"/>
      <family val="2"/>
    </font>
    <font>
      <b/>
      <sz val="14"/>
      <color theme="1"/>
      <name val="Calibri"/>
      <family val="2"/>
      <scheme val="minor"/>
    </font>
    <font>
      <i/>
      <sz val="11"/>
      <color rgb="FFFF0000"/>
      <name val="Calibri"/>
      <family val="2"/>
      <scheme val="minor"/>
    </font>
    <font>
      <i/>
      <u/>
      <sz val="11"/>
      <color theme="1"/>
      <name val="Calibri"/>
      <family val="2"/>
      <scheme val="minor"/>
    </font>
    <font>
      <sz val="12"/>
      <color theme="1"/>
      <name val="Century Gothic"/>
      <family val="2"/>
    </font>
    <font>
      <b/>
      <sz val="10"/>
      <color theme="1"/>
      <name val="Century Gothic"/>
      <family val="1"/>
    </font>
    <font>
      <sz val="10"/>
      <color theme="1"/>
      <name val="Century Gothic"/>
      <family val="1"/>
    </font>
    <font>
      <b/>
      <sz val="10"/>
      <color rgb="FF0070C0"/>
      <name val="Century Gothic"/>
      <family val="2"/>
    </font>
    <font>
      <b/>
      <sz val="10"/>
      <color theme="1"/>
      <name val="Century Gothic"/>
      <family val="2"/>
    </font>
    <font>
      <b/>
      <i/>
      <vertAlign val="subscript"/>
      <sz val="10"/>
      <color rgb="FF000000"/>
      <name val="Cambria"/>
      <family val="1"/>
    </font>
    <font>
      <b/>
      <sz val="10"/>
      <color rgb="FF000000"/>
      <name val="Century Gothic"/>
      <family val="2"/>
    </font>
    <font>
      <b/>
      <sz val="9"/>
      <color rgb="FF000000"/>
      <name val="Century Gothic"/>
      <family val="2"/>
    </font>
    <font>
      <sz val="14"/>
      <color rgb="FF000000"/>
      <name val="Arial"/>
      <family val="2"/>
    </font>
    <font>
      <b/>
      <vertAlign val="subscript"/>
      <sz val="10"/>
      <color rgb="FF000000"/>
      <name val="Century Gothic"/>
      <family val="2"/>
    </font>
    <font>
      <b/>
      <i/>
      <u/>
      <sz val="11"/>
      <color rgb="FF0070C0"/>
      <name val="Calibri"/>
      <family val="2"/>
      <scheme val="minor"/>
    </font>
    <font>
      <sz val="14"/>
      <color theme="1"/>
      <name val="Calibri"/>
      <family val="2"/>
      <scheme val="minor"/>
    </font>
    <font>
      <b/>
      <sz val="14"/>
      <color rgb="FF0070C0"/>
      <name val="Calibri"/>
      <family val="2"/>
      <scheme val="minor"/>
    </font>
    <font>
      <b/>
      <vertAlign val="subscript"/>
      <sz val="14"/>
      <color rgb="FF0070C0"/>
      <name val="Calibri"/>
      <family val="2"/>
      <scheme val="minor"/>
    </font>
    <font>
      <sz val="11"/>
      <color theme="1"/>
      <name val="Century Gothic"/>
      <family val="1"/>
    </font>
    <font>
      <b/>
      <sz val="12"/>
      <color theme="1"/>
      <name val="Century Gothic"/>
      <family val="2"/>
    </font>
    <font>
      <b/>
      <vertAlign val="subscript"/>
      <sz val="12"/>
      <color theme="1"/>
      <name val="Century Gothic"/>
      <family val="2"/>
    </font>
    <font>
      <b/>
      <sz val="12"/>
      <name val="Calibri"/>
      <family val="2"/>
      <scheme val="minor"/>
    </font>
    <font>
      <b/>
      <vertAlign val="subscript"/>
      <sz val="12"/>
      <name val="Calibri"/>
      <family val="2"/>
      <scheme val="minor"/>
    </font>
    <font>
      <b/>
      <sz val="12"/>
      <color rgb="FF0070C0"/>
      <name val="Century Gothic"/>
      <family val="2"/>
    </font>
    <font>
      <vertAlign val="subscript"/>
      <sz val="12"/>
      <color theme="1"/>
      <name val="Century Gothic"/>
      <family val="2"/>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3F5F7"/>
        <bgColor indexed="64"/>
      </patternFill>
    </fill>
    <fill>
      <patternFill patternType="solid">
        <fgColor theme="8" tint="0.39997558519241921"/>
        <bgColor indexed="64"/>
      </patternFill>
    </fill>
  </fills>
  <borders count="64">
    <border>
      <left/>
      <right/>
      <top/>
      <bottom/>
      <diagonal/>
    </border>
    <border>
      <left/>
      <right style="thick">
        <color theme="0" tint="-0.34998626667073579"/>
      </right>
      <top/>
      <bottom/>
      <diagonal/>
    </border>
    <border>
      <left/>
      <right/>
      <top/>
      <bottom style="medium">
        <color theme="0" tint="-0.24994659260841701"/>
      </bottom>
      <diagonal/>
    </border>
    <border>
      <left/>
      <right/>
      <top style="medium">
        <color theme="0" tint="-0.24994659260841701"/>
      </top>
      <bottom/>
      <diagonal/>
    </border>
    <border>
      <left style="thick">
        <color theme="0" tint="-0.34998626667073579"/>
      </left>
      <right/>
      <top/>
      <bottom/>
      <diagonal/>
    </border>
    <border>
      <left style="thin">
        <color indexed="64"/>
      </left>
      <right style="thin">
        <color indexed="64"/>
      </right>
      <top style="thin">
        <color indexed="64"/>
      </top>
      <bottom style="thin">
        <color indexed="64"/>
      </bottom>
      <diagonal/>
    </border>
    <border>
      <left/>
      <right/>
      <top/>
      <bottom style="mediumDashed">
        <color theme="0" tint="-0.24994659260841701"/>
      </bottom>
      <diagonal/>
    </border>
    <border>
      <left/>
      <right/>
      <top style="mediumDashed">
        <color theme="0" tint="-0.24994659260841701"/>
      </top>
      <bottom/>
      <diagonal/>
    </border>
    <border>
      <left style="medium">
        <color theme="0" tint="-0.249977111117893"/>
      </left>
      <right style="thin">
        <color theme="0" tint="-0.249977111117893"/>
      </right>
      <top style="medium">
        <color theme="0" tint="-0.249977111117893"/>
      </top>
      <bottom style="double">
        <color theme="0" tint="-0.249977111117893"/>
      </bottom>
      <diagonal/>
    </border>
    <border>
      <left style="thin">
        <color theme="0" tint="-0.249977111117893"/>
      </left>
      <right style="thin">
        <color theme="0" tint="-0.249977111117893"/>
      </right>
      <top style="medium">
        <color theme="0" tint="-0.249977111117893"/>
      </top>
      <bottom style="double">
        <color theme="0" tint="-0.249977111117893"/>
      </bottom>
      <diagonal/>
    </border>
    <border>
      <left style="thin">
        <color theme="0" tint="-0.249977111117893"/>
      </left>
      <right style="medium">
        <color theme="0" tint="-0.249977111117893"/>
      </right>
      <top style="medium">
        <color theme="0" tint="-0.249977111117893"/>
      </top>
      <bottom style="double">
        <color theme="0" tint="-0.249977111117893"/>
      </bottom>
      <diagonal/>
    </border>
    <border>
      <left style="medium">
        <color theme="0" tint="-0.249977111117893"/>
      </left>
      <right/>
      <top style="double">
        <color theme="0" tint="-0.249977111117893"/>
      </top>
      <bottom style="medium">
        <color theme="0" tint="-0.249977111117893"/>
      </bottom>
      <diagonal/>
    </border>
    <border>
      <left/>
      <right style="medium">
        <color theme="0" tint="-0.249977111117893"/>
      </right>
      <top style="medium">
        <color theme="0" tint="-0.249977111117893"/>
      </top>
      <bottom style="double">
        <color theme="0" tint="-0.249977111117893"/>
      </bottom>
      <diagonal/>
    </border>
    <border>
      <left/>
      <right style="medium">
        <color theme="0" tint="-0.249977111117893"/>
      </right>
      <top style="double">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ck">
        <color theme="0" tint="-0.249977111117893"/>
      </left>
      <right/>
      <top style="thick">
        <color theme="0" tint="-0.249977111117893"/>
      </top>
      <bottom/>
      <diagonal/>
    </border>
    <border>
      <left/>
      <right style="medium">
        <color theme="0" tint="-0.249977111117893"/>
      </right>
      <top style="thick">
        <color theme="0" tint="-0.249977111117893"/>
      </top>
      <bottom/>
      <diagonal/>
    </border>
    <border>
      <left style="thick">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
      <left style="medium">
        <color theme="0" tint="-0.249977111117893"/>
      </left>
      <right/>
      <top style="thick">
        <color theme="0" tint="-0.249977111117893"/>
      </top>
      <bottom style="double">
        <color theme="0" tint="-0.249977111117893"/>
      </bottom>
      <diagonal/>
    </border>
    <border>
      <left/>
      <right style="thick">
        <color theme="0" tint="-0.249977111117893"/>
      </right>
      <top style="thick">
        <color theme="0" tint="-0.249977111117893"/>
      </top>
      <bottom style="double">
        <color theme="0" tint="-0.249977111117893"/>
      </bottom>
      <diagonal/>
    </border>
    <border>
      <left style="medium">
        <color theme="0" tint="-0.249977111117893"/>
      </left>
      <right style="thin">
        <color theme="0" tint="-0.249977111117893"/>
      </right>
      <top style="thin">
        <color theme="0" tint="-0.249977111117893"/>
      </top>
      <bottom style="thick">
        <color theme="0" tint="-0.249977111117893"/>
      </bottom>
      <diagonal/>
    </border>
    <border>
      <left style="thick">
        <color theme="0" tint="-0.249977111117893"/>
      </left>
      <right style="double">
        <color theme="0" tint="-0.249977111117893"/>
      </right>
      <top style="medium">
        <color theme="0" tint="-0.249977111117893"/>
      </top>
      <bottom/>
      <diagonal/>
    </border>
    <border>
      <left style="double">
        <color theme="0" tint="-0.249977111117893"/>
      </left>
      <right style="medium">
        <color theme="0" tint="-0.249977111117893"/>
      </right>
      <top style="medium">
        <color theme="0" tint="-0.249977111117893"/>
      </top>
      <bottom style="double">
        <color theme="0" tint="-0.249977111117893"/>
      </bottom>
      <diagonal/>
    </border>
    <border>
      <left style="thick">
        <color theme="0" tint="-0.249977111117893"/>
      </left>
      <right style="double">
        <color theme="0" tint="-0.249977111117893"/>
      </right>
      <top/>
      <bottom style="thick">
        <color theme="0" tint="-0.249977111117893"/>
      </bottom>
      <diagonal/>
    </border>
    <border>
      <left style="double">
        <color theme="0" tint="-0.249977111117893"/>
      </left>
      <right style="medium">
        <color theme="0" tint="-0.249977111117893"/>
      </right>
      <top style="medium">
        <color theme="0" tint="-0.249977111117893"/>
      </top>
      <bottom style="thick">
        <color theme="0" tint="-0.249977111117893"/>
      </bottom>
      <diagonal/>
    </border>
    <border>
      <left style="thin">
        <color theme="0" tint="-0.249977111117893"/>
      </left>
      <right style="thick">
        <color theme="0" tint="-0.249977111117893"/>
      </right>
      <top style="thin">
        <color theme="0" tint="-0.249977111117893"/>
      </top>
      <bottom style="thick">
        <color theme="0" tint="-0.249977111117893"/>
      </bottom>
      <diagonal/>
    </border>
    <border>
      <left style="medium">
        <color theme="0" tint="-0.249977111117893"/>
      </left>
      <right style="thin">
        <color theme="0" tint="-0.249977111117893"/>
      </right>
      <top/>
      <bottom style="thin">
        <color theme="0" tint="-0.249977111117893"/>
      </bottom>
      <diagonal/>
    </border>
    <border>
      <left style="thin">
        <color theme="0" tint="-0.249977111117893"/>
      </left>
      <right style="thick">
        <color theme="0" tint="-0.249977111117893"/>
      </right>
      <top/>
      <bottom style="thin">
        <color theme="0" tint="-0.249977111117893"/>
      </bottom>
      <diagonal/>
    </border>
    <border>
      <left style="medium">
        <color theme="0" tint="-0.249977111117893"/>
      </left>
      <right style="double">
        <color theme="0" tint="-0.249977111117893"/>
      </right>
      <top style="double">
        <color theme="0" tint="-0.249977111117893"/>
      </top>
      <bottom style="medium">
        <color theme="0" tint="-0.249977111117893"/>
      </bottom>
      <diagonal/>
    </border>
    <border>
      <left style="double">
        <color theme="0" tint="-0.249977111117893"/>
      </left>
      <right style="thick">
        <color theme="0" tint="-0.249977111117893"/>
      </right>
      <top style="double">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ck">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style="medium">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medium">
        <color theme="0" tint="-0.249977111117893"/>
      </right>
      <top style="medium">
        <color theme="0" tint="-0.249977111117893"/>
      </top>
      <bottom style="thin">
        <color theme="0" tint="-0.249977111117893"/>
      </bottom>
      <diagonal/>
    </border>
    <border>
      <left/>
      <right style="medium">
        <color theme="0" tint="-0.249977111117893"/>
      </right>
      <top style="thick">
        <color theme="0" tint="-0.249977111117893"/>
      </top>
      <bottom style="double">
        <color theme="0" tint="-0.249977111117893"/>
      </bottom>
      <diagonal/>
    </border>
    <border>
      <left style="double">
        <color theme="0" tint="-0.249977111117893"/>
      </left>
      <right style="medium">
        <color theme="0" tint="-0.249977111117893"/>
      </right>
      <top style="double">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ck">
        <color theme="0" tint="-0.249977111117893"/>
      </bottom>
      <diagonal/>
    </border>
    <border>
      <left style="medium">
        <color theme="0" tint="-0.249977111117893"/>
      </left>
      <right style="medium">
        <color theme="0" tint="-0.249977111117893"/>
      </right>
      <top style="thick">
        <color theme="0" tint="-0.249977111117893"/>
      </top>
      <bottom/>
      <diagonal/>
    </border>
    <border>
      <left style="medium">
        <color theme="0" tint="-0.249977111117893"/>
      </left>
      <right style="thick">
        <color theme="0" tint="-0.249977111117893"/>
      </right>
      <top style="thick">
        <color theme="0" tint="-0.249977111117893"/>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thick">
        <color theme="0" tint="-0.249977111117893"/>
      </right>
      <top/>
      <bottom style="medium">
        <color theme="0" tint="-0.249977111117893"/>
      </bottom>
      <diagonal/>
    </border>
    <border>
      <left/>
      <right/>
      <top style="thick">
        <color theme="0" tint="-0.249977111117893"/>
      </top>
      <bottom/>
      <diagonal/>
    </border>
    <border>
      <left style="medium">
        <color theme="0" tint="-0.249977111117893"/>
      </left>
      <right style="double">
        <color theme="0" tint="-0.249977111117893"/>
      </right>
      <top style="medium">
        <color theme="0" tint="-0.249977111117893"/>
      </top>
      <bottom/>
      <diagonal/>
    </border>
    <border>
      <left style="medium">
        <color theme="0" tint="-0.249977111117893"/>
      </left>
      <right style="double">
        <color theme="0" tint="-0.249977111117893"/>
      </right>
      <top/>
      <bottom style="medium">
        <color theme="0" tint="-0.249977111117893"/>
      </bottom>
      <diagonal/>
    </border>
    <border>
      <left style="double">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thick">
        <color theme="0" tint="-0.249977111117893"/>
      </right>
      <top style="medium">
        <color theme="0" tint="-0.249977111117893"/>
      </top>
      <bottom style="thin">
        <color theme="0" tint="-0.249977111117893"/>
      </bottom>
      <diagonal/>
    </border>
    <border>
      <left style="thick">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thick">
        <color theme="0" tint="-0.249977111117893"/>
      </right>
      <top style="thick">
        <color theme="0" tint="-0.249977111117893"/>
      </top>
      <bottom style="thin">
        <color theme="0" tint="-0.249977111117893"/>
      </bottom>
      <diagonal/>
    </border>
    <border>
      <left style="thick">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ck">
        <color theme="0" tint="-0.249977111117893"/>
      </right>
      <top style="thin">
        <color theme="0" tint="-0.249977111117893"/>
      </top>
      <bottom style="thin">
        <color theme="0" tint="-0.249977111117893"/>
      </bottom>
      <diagonal/>
    </border>
    <border>
      <left style="thick">
        <color theme="0" tint="-0.249977111117893"/>
      </left>
      <right style="thin">
        <color theme="0" tint="-0.249977111117893"/>
      </right>
      <top style="thin">
        <color theme="0" tint="-0.249977111117893"/>
      </top>
      <bottom style="thick">
        <color theme="0" tint="-0.249977111117893"/>
      </bottom>
      <diagonal/>
    </border>
    <border>
      <left style="double">
        <color theme="0" tint="-0.249977111117893"/>
      </left>
      <right style="double">
        <color theme="0" tint="-0.249977111117893"/>
      </right>
      <top style="double">
        <color theme="0" tint="-0.249977111117893"/>
      </top>
      <bottom style="double">
        <color theme="0" tint="-0.249977111117893"/>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4" fillId="0" borderId="0" applyNumberFormat="0" applyFill="0" applyBorder="0" applyAlignment="0" applyProtection="0"/>
  </cellStyleXfs>
  <cellXfs count="159">
    <xf numFmtId="0" fontId="0" fillId="0" borderId="0" xfId="0"/>
    <xf numFmtId="0" fontId="2" fillId="0" borderId="0" xfId="0" applyFont="1"/>
    <xf numFmtId="0" fontId="1" fillId="0" borderId="0" xfId="4"/>
    <xf numFmtId="0" fontId="3" fillId="0" borderId="0" xfId="4" applyFont="1" applyBorder="1" applyAlignment="1">
      <alignment vertical="center" wrapText="1"/>
    </xf>
    <xf numFmtId="0" fontId="5" fillId="0" borderId="1" xfId="4" applyFont="1" applyBorder="1" applyAlignment="1">
      <alignment vertical="top"/>
    </xf>
    <xf numFmtId="0" fontId="6" fillId="2" borderId="0" xfId="2" applyFont="1" applyFill="1" applyAlignment="1">
      <alignment horizontal="right"/>
    </xf>
    <xf numFmtId="0" fontId="6" fillId="2" borderId="0" xfId="2" applyFont="1" applyFill="1"/>
    <xf numFmtId="0" fontId="4" fillId="2" borderId="0" xfId="5" quotePrefix="1" applyFill="1"/>
    <xf numFmtId="0" fontId="1" fillId="0" borderId="2" xfId="4" applyBorder="1"/>
    <xf numFmtId="0" fontId="1" fillId="0" borderId="3" xfId="4" applyBorder="1"/>
    <xf numFmtId="0" fontId="6" fillId="2" borderId="0" xfId="2" applyFont="1" applyFill="1" applyAlignment="1">
      <alignment horizontal="left"/>
    </xf>
    <xf numFmtId="0" fontId="6" fillId="0" borderId="3" xfId="4" applyFont="1" applyBorder="1"/>
    <xf numFmtId="0" fontId="4" fillId="2" borderId="0" xfId="5" quotePrefix="1" applyFill="1" applyBorder="1"/>
    <xf numFmtId="0" fontId="1" fillId="0" borderId="0" xfId="4" applyBorder="1"/>
    <xf numFmtId="0" fontId="6" fillId="2" borderId="0" xfId="2" applyFont="1" applyFill="1" applyBorder="1" applyAlignment="1">
      <alignment horizontal="right"/>
    </xf>
    <xf numFmtId="1" fontId="6" fillId="2" borderId="0" xfId="2" applyNumberFormat="1" applyFont="1" applyFill="1"/>
    <xf numFmtId="0" fontId="9" fillId="2" borderId="0" xfId="2" applyFont="1" applyFill="1"/>
    <xf numFmtId="0" fontId="9" fillId="0" borderId="3" xfId="4" applyFont="1" applyBorder="1"/>
    <xf numFmtId="0" fontId="9" fillId="2" borderId="0" xfId="2" applyFont="1" applyFill="1" applyBorder="1"/>
    <xf numFmtId="0" fontId="10" fillId="2" borderId="0" xfId="2" applyFont="1" applyFill="1"/>
    <xf numFmtId="0" fontId="6" fillId="0" borderId="3" xfId="4" applyFont="1" applyBorder="1" applyAlignment="1">
      <alignment horizontal="right"/>
    </xf>
    <xf numFmtId="0" fontId="6" fillId="0" borderId="0" xfId="4" applyFont="1" applyBorder="1"/>
    <xf numFmtId="0" fontId="10" fillId="0" borderId="0" xfId="0" applyFont="1"/>
    <xf numFmtId="0" fontId="8" fillId="2" borderId="0" xfId="5" quotePrefix="1" applyFont="1" applyFill="1" applyBorder="1"/>
    <xf numFmtId="164" fontId="6" fillId="2" borderId="0" xfId="2" applyNumberFormat="1" applyFont="1" applyFill="1"/>
    <xf numFmtId="0" fontId="6" fillId="0" borderId="0" xfId="4" applyFont="1" applyBorder="1" applyAlignment="1">
      <alignment horizontal="right"/>
    </xf>
    <xf numFmtId="0" fontId="9" fillId="0" borderId="0" xfId="4" applyFont="1" applyBorder="1"/>
    <xf numFmtId="0" fontId="6" fillId="2" borderId="2" xfId="2" applyFont="1" applyFill="1" applyBorder="1" applyAlignment="1">
      <alignment horizontal="right"/>
    </xf>
    <xf numFmtId="0" fontId="9" fillId="2" borderId="2" xfId="2" applyFont="1" applyFill="1" applyBorder="1"/>
    <xf numFmtId="10" fontId="7" fillId="2" borderId="2" xfId="2" applyNumberFormat="1" applyFont="1" applyFill="1" applyBorder="1"/>
    <xf numFmtId="0" fontId="8" fillId="2" borderId="2" xfId="5" quotePrefix="1" applyFont="1" applyFill="1" applyBorder="1"/>
    <xf numFmtId="165" fontId="6" fillId="0" borderId="3" xfId="4" applyNumberFormat="1" applyFont="1" applyBorder="1" applyAlignment="1">
      <alignment horizontal="right"/>
    </xf>
    <xf numFmtId="2" fontId="7" fillId="2" borderId="0" xfId="1" applyNumberFormat="1" applyFont="1" applyFill="1"/>
    <xf numFmtId="10" fontId="7" fillId="2" borderId="0" xfId="2" applyNumberFormat="1" applyFont="1" applyFill="1" applyBorder="1"/>
    <xf numFmtId="165" fontId="6" fillId="0" borderId="0" xfId="4" applyNumberFormat="1" applyFont="1" applyBorder="1" applyAlignment="1">
      <alignment horizontal="right"/>
    </xf>
    <xf numFmtId="0" fontId="2" fillId="0" borderId="0" xfId="0" applyFont="1" applyAlignment="1">
      <alignment vertical="center"/>
    </xf>
    <xf numFmtId="0" fontId="0" fillId="0" borderId="0" xfId="0" applyAlignment="1">
      <alignment horizontal="right"/>
    </xf>
    <xf numFmtId="166" fontId="0" fillId="0" borderId="0" xfId="0" applyNumberFormat="1"/>
    <xf numFmtId="0" fontId="15" fillId="0" borderId="0" xfId="0" quotePrefix="1" applyFont="1"/>
    <xf numFmtId="0" fontId="2" fillId="0" borderId="0" xfId="0" applyFont="1" applyAlignment="1">
      <alignment vertical="center" textRotation="90"/>
    </xf>
    <xf numFmtId="167" fontId="0" fillId="0" borderId="0" xfId="0" applyNumberFormat="1"/>
    <xf numFmtId="166" fontId="15" fillId="0" borderId="0" xfId="0" quotePrefix="1" applyNumberFormat="1" applyFont="1"/>
    <xf numFmtId="0" fontId="15" fillId="0" borderId="0" xfId="0" applyFont="1"/>
    <xf numFmtId="168" fontId="2" fillId="0" borderId="5" xfId="0" applyNumberFormat="1" applyFont="1" applyBorder="1"/>
    <xf numFmtId="0" fontId="0" fillId="0" borderId="0" xfId="0" quotePrefix="1" applyAlignment="1">
      <alignment horizontal="center"/>
    </xf>
    <xf numFmtId="0" fontId="6" fillId="2" borderId="6" xfId="2" applyFont="1" applyFill="1" applyBorder="1" applyAlignment="1">
      <alignment horizontal="right"/>
    </xf>
    <xf numFmtId="0" fontId="9" fillId="2" borderId="6" xfId="2" applyFont="1" applyFill="1" applyBorder="1"/>
    <xf numFmtId="164" fontId="6" fillId="2" borderId="6" xfId="2" applyNumberFormat="1" applyFont="1" applyFill="1" applyBorder="1"/>
    <xf numFmtId="0" fontId="1" fillId="0" borderId="6" xfId="4" applyBorder="1"/>
    <xf numFmtId="0" fontId="1" fillId="0" borderId="7" xfId="4" applyBorder="1"/>
    <xf numFmtId="0" fontId="4" fillId="2" borderId="7" xfId="5" quotePrefix="1" applyFill="1" applyBorder="1"/>
    <xf numFmtId="9" fontId="6" fillId="2" borderId="0" xfId="2" applyNumberFormat="1" applyFont="1" applyFill="1"/>
    <xf numFmtId="1" fontId="19" fillId="7" borderId="9" xfId="3" applyNumberFormat="1" applyFont="1" applyFill="1" applyBorder="1" applyAlignment="1">
      <alignment horizontal="center" vertical="center"/>
    </xf>
    <xf numFmtId="0" fontId="18" fillId="6" borderId="11" xfId="2" applyFont="1" applyFill="1" applyBorder="1" applyAlignment="1">
      <alignment horizontal="center" vertical="center" wrapText="1"/>
    </xf>
    <xf numFmtId="1" fontId="19" fillId="7" borderId="8" xfId="3" applyNumberFormat="1" applyFont="1" applyFill="1" applyBorder="1" applyAlignment="1">
      <alignment horizontal="center" vertical="center"/>
    </xf>
    <xf numFmtId="1" fontId="19" fillId="7" borderId="10" xfId="3" applyNumberFormat="1" applyFont="1" applyFill="1" applyBorder="1" applyAlignment="1">
      <alignment horizontal="center" vertical="center"/>
    </xf>
    <xf numFmtId="4" fontId="19" fillId="0" borderId="14" xfId="2" applyNumberFormat="1" applyFont="1" applyBorder="1" applyAlignment="1">
      <alignment horizontal="center" vertical="center"/>
    </xf>
    <xf numFmtId="9" fontId="6" fillId="2" borderId="0" xfId="2" applyNumberFormat="1" applyFont="1" applyFill="1" applyAlignment="1">
      <alignment horizontal="left"/>
    </xf>
    <xf numFmtId="0" fontId="0" fillId="0" borderId="0" xfId="0" applyAlignment="1">
      <alignment horizontal="left"/>
    </xf>
    <xf numFmtId="169" fontId="6" fillId="2" borderId="0" xfId="2" applyNumberFormat="1" applyFont="1" applyFill="1" applyAlignment="1">
      <alignment vertical="center"/>
    </xf>
    <xf numFmtId="164" fontId="6" fillId="2" borderId="0" xfId="2" applyNumberFormat="1" applyFont="1" applyFill="1" applyAlignment="1">
      <alignment vertical="center"/>
    </xf>
    <xf numFmtId="2" fontId="13" fillId="0" borderId="13" xfId="0" applyNumberFormat="1" applyFont="1" applyBorder="1" applyAlignment="1">
      <alignment horizontal="center" vertical="center"/>
    </xf>
    <xf numFmtId="0" fontId="13" fillId="0" borderId="12" xfId="0" applyFont="1" applyBorder="1" applyAlignment="1">
      <alignment horizontal="center" vertical="center"/>
    </xf>
    <xf numFmtId="0" fontId="13" fillId="2" borderId="0" xfId="2" applyFont="1" applyFill="1" applyAlignment="1">
      <alignment horizontal="left"/>
    </xf>
    <xf numFmtId="0" fontId="0" fillId="0" borderId="0" xfId="0" quotePrefix="1"/>
    <xf numFmtId="3" fontId="19" fillId="0" borderId="21" xfId="2" applyNumberFormat="1" applyFont="1" applyBorder="1" applyAlignment="1">
      <alignment horizontal="center" vertical="center"/>
    </xf>
    <xf numFmtId="3" fontId="19" fillId="0" borderId="26" xfId="2" applyNumberFormat="1" applyFont="1" applyBorder="1" applyAlignment="1">
      <alignment horizontal="center" vertical="center"/>
    </xf>
    <xf numFmtId="3" fontId="19" fillId="0" borderId="27" xfId="2" applyNumberFormat="1" applyFont="1" applyBorder="1" applyAlignment="1">
      <alignment horizontal="center" vertical="center"/>
    </xf>
    <xf numFmtId="3" fontId="19" fillId="0" borderId="28" xfId="2" applyNumberFormat="1" applyFont="1" applyBorder="1" applyAlignment="1">
      <alignment horizontal="center" vertical="center"/>
    </xf>
    <xf numFmtId="164" fontId="19" fillId="0" borderId="27" xfId="2" applyNumberFormat="1" applyFont="1" applyBorder="1" applyAlignment="1">
      <alignment horizontal="center" vertical="center"/>
    </xf>
    <xf numFmtId="164" fontId="19" fillId="0" borderId="28" xfId="2" applyNumberFormat="1" applyFont="1" applyBorder="1" applyAlignment="1">
      <alignment horizontal="center" vertical="center"/>
    </xf>
    <xf numFmtId="164" fontId="19" fillId="0" borderId="21" xfId="2" applyNumberFormat="1" applyFont="1" applyBorder="1" applyAlignment="1">
      <alignment horizontal="center" vertical="center"/>
    </xf>
    <xf numFmtId="164" fontId="19" fillId="0" borderId="26" xfId="2" applyNumberFormat="1" applyFont="1" applyBorder="1" applyAlignment="1">
      <alignment horizontal="center" vertical="center"/>
    </xf>
    <xf numFmtId="1" fontId="19" fillId="4" borderId="29" xfId="3" applyNumberFormat="1" applyFont="1" applyFill="1" applyBorder="1" applyAlignment="1">
      <alignment horizontal="center" vertical="center"/>
    </xf>
    <xf numFmtId="1" fontId="19" fillId="4" borderId="30" xfId="3" applyNumberFormat="1" applyFont="1" applyFill="1" applyBorder="1" applyAlignment="1">
      <alignment horizontal="center" vertical="center"/>
    </xf>
    <xf numFmtId="1" fontId="19" fillId="5" borderId="23" xfId="3" applyNumberFormat="1" applyFont="1" applyFill="1" applyBorder="1" applyAlignment="1">
      <alignment horizontal="center" vertical="center"/>
    </xf>
    <xf numFmtId="1" fontId="19" fillId="5" borderId="25" xfId="3" applyNumberFormat="1" applyFont="1" applyFill="1" applyBorder="1" applyAlignment="1">
      <alignment horizontal="center" vertical="center"/>
    </xf>
    <xf numFmtId="0" fontId="25" fillId="0" borderId="0" xfId="0" applyFont="1"/>
    <xf numFmtId="1" fontId="19" fillId="0" borderId="31" xfId="2" applyNumberFormat="1" applyFont="1" applyBorder="1" applyAlignment="1">
      <alignment horizontal="center" vertical="center"/>
    </xf>
    <xf numFmtId="1" fontId="19" fillId="0" borderId="32" xfId="2" applyNumberFormat="1" applyFont="1" applyBorder="1" applyAlignment="1">
      <alignment horizontal="center" vertical="center"/>
    </xf>
    <xf numFmtId="1" fontId="19" fillId="0" borderId="0" xfId="2" applyNumberFormat="1" applyFont="1" applyBorder="1" applyAlignment="1">
      <alignment horizontal="center" vertical="center"/>
    </xf>
    <xf numFmtId="1" fontId="19" fillId="0" borderId="37" xfId="2" applyNumberFormat="1" applyFont="1" applyBorder="1" applyAlignment="1">
      <alignment horizontal="center" vertical="center"/>
    </xf>
    <xf numFmtId="164" fontId="19" fillId="0" borderId="37" xfId="2" applyNumberFormat="1" applyFont="1" applyBorder="1" applyAlignment="1">
      <alignment horizontal="center" vertical="center"/>
    </xf>
    <xf numFmtId="1" fontId="19" fillId="4" borderId="39" xfId="3" applyNumberFormat="1" applyFont="1" applyFill="1" applyBorder="1" applyAlignment="1">
      <alignment horizontal="center" vertical="center"/>
    </xf>
    <xf numFmtId="1" fontId="20" fillId="0" borderId="0" xfId="3" applyNumberFormat="1" applyFont="1" applyFill="1" applyBorder="1" applyAlignment="1">
      <alignment horizontal="left" vertical="center"/>
    </xf>
    <xf numFmtId="0" fontId="27" fillId="0" borderId="0" xfId="0" applyFont="1"/>
    <xf numFmtId="0" fontId="28" fillId="0" borderId="0" xfId="0" applyFont="1"/>
    <xf numFmtId="1" fontId="19" fillId="5" borderId="49" xfId="3" applyNumberFormat="1" applyFont="1" applyFill="1" applyBorder="1" applyAlignment="1">
      <alignment horizontal="center" vertical="center"/>
    </xf>
    <xf numFmtId="164" fontId="19" fillId="0" borderId="50" xfId="2" applyNumberFormat="1" applyFont="1" applyBorder="1" applyAlignment="1">
      <alignment horizontal="center" vertical="center"/>
    </xf>
    <xf numFmtId="1" fontId="19" fillId="0" borderId="50" xfId="2" applyNumberFormat="1" applyFont="1" applyBorder="1" applyAlignment="1">
      <alignment horizontal="center" vertical="center"/>
    </xf>
    <xf numFmtId="1" fontId="19" fillId="0" borderId="51" xfId="2" applyNumberFormat="1" applyFont="1" applyBorder="1" applyAlignment="1">
      <alignment horizontal="center" vertical="center"/>
    </xf>
    <xf numFmtId="0" fontId="29" fillId="0" borderId="0" xfId="0" applyFont="1"/>
    <xf numFmtId="1" fontId="31" fillId="0" borderId="52" xfId="2" applyNumberFormat="1" applyFont="1" applyBorder="1" applyAlignment="1">
      <alignment horizontal="center" vertical="center"/>
    </xf>
    <xf numFmtId="1" fontId="31" fillId="0" borderId="53" xfId="2" applyNumberFormat="1" applyFont="1" applyBorder="1" applyAlignment="1">
      <alignment horizontal="center" vertical="center"/>
    </xf>
    <xf numFmtId="1" fontId="31" fillId="0" borderId="54" xfId="2" applyNumberFormat="1" applyFont="1" applyBorder="1" applyAlignment="1">
      <alignment horizontal="center" vertical="center"/>
    </xf>
    <xf numFmtId="1" fontId="31" fillId="0" borderId="55" xfId="2" applyNumberFormat="1" applyFont="1" applyBorder="1" applyAlignment="1">
      <alignment horizontal="center" vertical="center"/>
    </xf>
    <xf numFmtId="1" fontId="31" fillId="0" borderId="56" xfId="2" applyNumberFormat="1" applyFont="1" applyBorder="1" applyAlignment="1">
      <alignment horizontal="center" vertical="center"/>
    </xf>
    <xf numFmtId="1" fontId="31" fillId="0" borderId="57" xfId="2" applyNumberFormat="1" applyFont="1" applyBorder="1" applyAlignment="1">
      <alignment horizontal="center" vertical="center"/>
    </xf>
    <xf numFmtId="1" fontId="31" fillId="0" borderId="58" xfId="2" applyNumberFormat="1" applyFont="1" applyBorder="1" applyAlignment="1">
      <alignment horizontal="center" vertical="center"/>
    </xf>
    <xf numFmtId="1" fontId="31" fillId="0" borderId="41" xfId="2" applyNumberFormat="1" applyFont="1" applyBorder="1" applyAlignment="1">
      <alignment horizontal="center" vertical="center"/>
    </xf>
    <xf numFmtId="1" fontId="31" fillId="0" borderId="26" xfId="2" applyNumberFormat="1" applyFont="1" applyBorder="1" applyAlignment="1">
      <alignment horizontal="center" vertical="center"/>
    </xf>
    <xf numFmtId="1" fontId="19" fillId="5" borderId="59" xfId="3" applyNumberFormat="1" applyFont="1" applyFill="1" applyBorder="1" applyAlignment="1">
      <alignment horizontal="center" vertical="center"/>
    </xf>
    <xf numFmtId="0" fontId="6" fillId="0" borderId="59" xfId="0" applyFont="1" applyBorder="1" applyAlignment="1">
      <alignment horizontal="center"/>
    </xf>
    <xf numFmtId="0" fontId="32" fillId="0" borderId="0" xfId="0" applyFont="1" applyBorder="1" applyAlignment="1">
      <alignment horizontal="center"/>
    </xf>
    <xf numFmtId="0" fontId="0" fillId="0" borderId="60" xfId="0" applyBorder="1" applyAlignment="1">
      <alignment horizontal="center"/>
    </xf>
    <xf numFmtId="0" fontId="34" fillId="0" borderId="0" xfId="0" applyFont="1" applyAlignment="1">
      <alignment horizontal="left"/>
    </xf>
    <xf numFmtId="0" fontId="17" fillId="0" borderId="61" xfId="0" applyFont="1" applyBorder="1" applyAlignment="1">
      <alignment horizontal="center"/>
    </xf>
    <xf numFmtId="0" fontId="17" fillId="0" borderId="62" xfId="0" applyFont="1" applyBorder="1" applyAlignment="1">
      <alignment horizontal="center"/>
    </xf>
    <xf numFmtId="0" fontId="17" fillId="0" borderId="63" xfId="0" applyFont="1" applyBorder="1" applyAlignment="1">
      <alignment horizontal="center"/>
    </xf>
    <xf numFmtId="0" fontId="36" fillId="0" borderId="5" xfId="0" applyFont="1" applyBorder="1" applyAlignment="1">
      <alignment horizontal="center"/>
    </xf>
    <xf numFmtId="0" fontId="17" fillId="2" borderId="0" xfId="2" applyFont="1" applyFill="1" applyAlignment="1">
      <alignment horizontal="left"/>
    </xf>
    <xf numFmtId="0" fontId="17" fillId="0" borderId="0" xfId="0" applyFont="1"/>
    <xf numFmtId="0" fontId="36" fillId="0" borderId="0" xfId="0" applyFont="1"/>
    <xf numFmtId="2" fontId="1" fillId="0" borderId="0" xfId="4" applyNumberFormat="1"/>
    <xf numFmtId="2" fontId="0" fillId="0" borderId="0" xfId="0" applyNumberFormat="1"/>
    <xf numFmtId="170" fontId="1" fillId="0" borderId="0" xfId="4" applyNumberFormat="1"/>
    <xf numFmtId="3" fontId="1" fillId="0" borderId="0" xfId="4" applyNumberFormat="1"/>
    <xf numFmtId="1" fontId="19" fillId="8" borderId="36" xfId="2" applyNumberFormat="1" applyFont="1" applyFill="1" applyBorder="1" applyAlignment="1">
      <alignment horizontal="center" vertical="center"/>
    </xf>
    <xf numFmtId="1" fontId="19" fillId="8" borderId="40" xfId="2" applyNumberFormat="1" applyFont="1" applyFill="1" applyBorder="1" applyAlignment="1">
      <alignment horizontal="center" vertical="center"/>
    </xf>
    <xf numFmtId="1" fontId="19" fillId="8" borderId="21" xfId="2" applyNumberFormat="1" applyFont="1" applyFill="1" applyBorder="1" applyAlignment="1">
      <alignment horizontal="center" vertical="center"/>
    </xf>
    <xf numFmtId="1" fontId="19" fillId="8" borderId="41" xfId="2" applyNumberFormat="1" applyFont="1" applyFill="1" applyBorder="1" applyAlignment="1">
      <alignment horizontal="center" vertical="center"/>
    </xf>
    <xf numFmtId="0" fontId="3" fillId="0" borderId="4" xfId="4" applyFont="1" applyBorder="1" applyAlignment="1">
      <alignment horizontal="left" vertical="top" wrapText="1"/>
    </xf>
    <xf numFmtId="0" fontId="3" fillId="0" borderId="0" xfId="4" applyFont="1" applyBorder="1" applyAlignment="1">
      <alignment horizontal="left" vertical="top" wrapText="1"/>
    </xf>
    <xf numFmtId="1" fontId="21" fillId="4" borderId="19" xfId="3" applyNumberFormat="1" applyFont="1" applyFill="1" applyBorder="1" applyAlignment="1">
      <alignment horizontal="center" vertical="center"/>
    </xf>
    <xf numFmtId="1" fontId="21" fillId="4" borderId="20" xfId="3" applyNumberFormat="1" applyFont="1" applyFill="1" applyBorder="1" applyAlignment="1">
      <alignment horizontal="center" vertical="center"/>
    </xf>
    <xf numFmtId="1" fontId="21" fillId="5" borderId="22" xfId="3" applyNumberFormat="1" applyFont="1" applyFill="1" applyBorder="1" applyAlignment="1">
      <alignment horizontal="center" vertical="center"/>
    </xf>
    <xf numFmtId="1" fontId="21" fillId="5" borderId="24" xfId="3" applyNumberFormat="1" applyFont="1" applyFill="1" applyBorder="1" applyAlignment="1">
      <alignment horizontal="center" vertical="center"/>
    </xf>
    <xf numFmtId="0" fontId="18" fillId="2" borderId="15" xfId="2" applyFont="1" applyFill="1" applyBorder="1" applyAlignment="1">
      <alignment horizontal="center" vertical="center" wrapText="1"/>
    </xf>
    <xf numFmtId="0" fontId="18" fillId="2" borderId="16" xfId="2" applyFont="1" applyFill="1" applyBorder="1" applyAlignment="1">
      <alignment horizontal="center" vertical="center" wrapText="1"/>
    </xf>
    <xf numFmtId="0" fontId="18" fillId="2" borderId="17" xfId="2" applyFont="1" applyFill="1" applyBorder="1" applyAlignment="1">
      <alignment horizontal="center" vertical="center" wrapText="1"/>
    </xf>
    <xf numFmtId="0" fontId="18" fillId="2" borderId="18" xfId="2" applyFont="1" applyFill="1" applyBorder="1" applyAlignment="1">
      <alignment horizontal="center" vertical="center" wrapText="1"/>
    </xf>
    <xf numFmtId="0" fontId="14" fillId="3" borderId="0" xfId="0" applyFont="1" applyFill="1" applyAlignment="1">
      <alignment horizontal="center" vertical="center"/>
    </xf>
    <xf numFmtId="1" fontId="21" fillId="5" borderId="47" xfId="3" applyNumberFormat="1" applyFont="1" applyFill="1" applyBorder="1" applyAlignment="1">
      <alignment horizontal="center" vertical="center"/>
    </xf>
    <xf numFmtId="1" fontId="21" fillId="5" borderId="48" xfId="3" applyNumberFormat="1" applyFont="1" applyFill="1" applyBorder="1" applyAlignment="1">
      <alignment horizontal="center" vertical="center"/>
    </xf>
    <xf numFmtId="0" fontId="23" fillId="0" borderId="33" xfId="0" applyFont="1" applyBorder="1" applyAlignment="1">
      <alignment horizontal="center" vertical="center"/>
    </xf>
    <xf numFmtId="0" fontId="23" fillId="0" borderId="34" xfId="0" applyFont="1" applyBorder="1" applyAlignment="1">
      <alignment horizontal="center" vertical="center"/>
    </xf>
    <xf numFmtId="0" fontId="23" fillId="0" borderId="35" xfId="0" applyFont="1" applyBorder="1" applyAlignment="1">
      <alignment horizontal="center" vertical="center"/>
    </xf>
    <xf numFmtId="0" fontId="23" fillId="0" borderId="18" xfId="0" applyFont="1" applyBorder="1" applyAlignment="1">
      <alignment horizontal="center" vertical="center"/>
    </xf>
    <xf numFmtId="0" fontId="23" fillId="6" borderId="43" xfId="0" applyFont="1" applyFill="1" applyBorder="1" applyAlignment="1">
      <alignment horizontal="center" wrapText="1"/>
    </xf>
    <xf numFmtId="0" fontId="23" fillId="6" borderId="45" xfId="0" applyFont="1" applyFill="1" applyBorder="1" applyAlignment="1">
      <alignment horizontal="center" wrapText="1"/>
    </xf>
    <xf numFmtId="1" fontId="19" fillId="0" borderId="40" xfId="2" applyNumberFormat="1" applyFont="1" applyBorder="1" applyAlignment="1">
      <alignment horizontal="center" vertical="center"/>
    </xf>
    <xf numFmtId="1" fontId="19" fillId="0" borderId="41" xfId="2" applyNumberFormat="1" applyFont="1" applyBorder="1" applyAlignment="1">
      <alignment horizontal="center" vertical="center"/>
    </xf>
    <xf numFmtId="1" fontId="21" fillId="4" borderId="38" xfId="3" applyNumberFormat="1" applyFont="1" applyFill="1" applyBorder="1" applyAlignment="1">
      <alignment horizontal="center" vertical="center"/>
    </xf>
    <xf numFmtId="0" fontId="16" fillId="0" borderId="0" xfId="0" applyFont="1" applyAlignment="1">
      <alignment horizontal="left"/>
    </xf>
    <xf numFmtId="1" fontId="19" fillId="0" borderId="46" xfId="3" applyNumberFormat="1" applyFont="1" applyFill="1" applyBorder="1" applyAlignment="1">
      <alignment horizontal="center" vertical="center"/>
    </xf>
    <xf numFmtId="0" fontId="23" fillId="6" borderId="42" xfId="0" applyFont="1" applyFill="1" applyBorder="1" applyAlignment="1">
      <alignment horizontal="center" vertical="center" wrapText="1"/>
    </xf>
    <xf numFmtId="0" fontId="23" fillId="6" borderId="44" xfId="0" applyFont="1" applyFill="1" applyBorder="1" applyAlignment="1">
      <alignment horizontal="center" vertical="center" wrapText="1"/>
    </xf>
    <xf numFmtId="0" fontId="6" fillId="2" borderId="0" xfId="2" applyFont="1" applyFill="1" applyBorder="1" applyAlignment="1">
      <alignment horizontal="center" vertical="top" wrapText="1"/>
    </xf>
    <xf numFmtId="0" fontId="32" fillId="0" borderId="0" xfId="0" applyFont="1" applyBorder="1" applyAlignment="1">
      <alignment horizontal="center" vertical="center"/>
    </xf>
    <xf numFmtId="0" fontId="21" fillId="2" borderId="15" xfId="2" applyFont="1" applyFill="1" applyBorder="1" applyAlignment="1">
      <alignment horizontal="center" vertical="center" wrapText="1"/>
    </xf>
    <xf numFmtId="0" fontId="21" fillId="2" borderId="16" xfId="2" applyFont="1" applyFill="1" applyBorder="1" applyAlignment="1">
      <alignment horizontal="center" vertical="center" wrapText="1"/>
    </xf>
    <xf numFmtId="0" fontId="21" fillId="2" borderId="17" xfId="2" applyFont="1" applyFill="1" applyBorder="1" applyAlignment="1">
      <alignment horizontal="center" vertical="center" wrapText="1"/>
    </xf>
    <xf numFmtId="0" fontId="21" fillId="2" borderId="18" xfId="2" applyFont="1" applyFill="1" applyBorder="1" applyAlignment="1">
      <alignment horizontal="center" vertical="center" wrapText="1"/>
    </xf>
    <xf numFmtId="0" fontId="18" fillId="0" borderId="0" xfId="2" applyFont="1" applyFill="1" applyBorder="1" applyAlignment="1">
      <alignment horizontal="center" vertical="center" wrapText="1"/>
    </xf>
    <xf numFmtId="1" fontId="21" fillId="0" borderId="0" xfId="3" applyNumberFormat="1" applyFont="1" applyFill="1" applyBorder="1" applyAlignment="1">
      <alignment horizontal="center" vertical="center"/>
    </xf>
    <xf numFmtId="1" fontId="19" fillId="0" borderId="0" xfId="3" applyNumberFormat="1" applyFont="1" applyFill="1" applyBorder="1" applyAlignment="1">
      <alignment horizontal="center" vertical="center"/>
    </xf>
    <xf numFmtId="164" fontId="19" fillId="0" borderId="0" xfId="2" applyNumberFormat="1" applyFont="1" applyFill="1" applyBorder="1" applyAlignment="1">
      <alignment horizontal="center" vertical="center"/>
    </xf>
    <xf numFmtId="0" fontId="0" fillId="0" borderId="0" xfId="0" applyFill="1"/>
    <xf numFmtId="0" fontId="23" fillId="6" borderId="44" xfId="0" applyFont="1" applyFill="1" applyBorder="1" applyAlignment="1">
      <alignment horizontal="center" vertical="center"/>
    </xf>
  </cellXfs>
  <cellStyles count="6">
    <cellStyle name="Explanatory Text" xfId="5" builtinId="53"/>
    <cellStyle name="Normal" xfId="0" builtinId="0"/>
    <cellStyle name="Normal 2" xfId="4"/>
    <cellStyle name="Normal 3" xfId="2"/>
    <cellStyle name="Percent" xfId="1" builtinId="5"/>
    <cellStyle name="Percent 2" xfId="3"/>
  </cellStyles>
  <dxfs count="0"/>
  <tableStyles count="0" defaultTableStyle="TableStyleMedium2" defaultPivotStyle="PivotStyleLight16"/>
  <colors>
    <mruColors>
      <color rgb="FFF6BCF2"/>
      <color rgb="FFF3A5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2EC7-484F-93BB-35ABCC6D8F15}"/>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C5A2-4AC7-B703-BEB435E4E8F2}"/>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38B7-471E-8C92-8B7CA93DB16A}"/>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8CCD-43E9-9A77-39535B9F514A}"/>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5" Type="http://schemas.microsoft.com/office/2007/relationships/hdphoto" Target="../media/hdphoto1.wdp"/><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emf"/><Relationship Id="rId6" Type="http://schemas.openxmlformats.org/officeDocument/2006/relationships/image" Target="../media/image5.pn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495300</xdr:colOff>
      <xdr:row>1</xdr:row>
      <xdr:rowOff>9525</xdr:rowOff>
    </xdr:to>
    <xdr:pic>
      <xdr:nvPicPr>
        <xdr:cNvPr id="2" name="Picture 1">
          <a:extLst>
            <a:ext uri="{FF2B5EF4-FFF2-40B4-BE49-F238E27FC236}">
              <a16:creationId xmlns:a16="http://schemas.microsoft.com/office/drawing/2014/main" id="{21A007B6-4414-41C0-9351-224EB50BB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182898</xdr:colOff>
      <xdr:row>8</xdr:row>
      <xdr:rowOff>95250</xdr:rowOff>
    </xdr:from>
    <xdr:to>
      <xdr:col>11</xdr:col>
      <xdr:colOff>178002</xdr:colOff>
      <xdr:row>25</xdr:row>
      <xdr:rowOff>174491</xdr:rowOff>
    </xdr:to>
    <xdr:pic>
      <xdr:nvPicPr>
        <xdr:cNvPr id="22" name="Picture 21">
          <a:extLst>
            <a:ext uri="{FF2B5EF4-FFF2-40B4-BE49-F238E27FC236}">
              <a16:creationId xmlns:a16="http://schemas.microsoft.com/office/drawing/2014/main" id="{D7C366CF-AA5D-425C-842C-0C2A8B8D85DE}"/>
            </a:ext>
          </a:extLst>
        </xdr:cNvPr>
        <xdr:cNvPicPr>
          <a:picLocks noChangeAspect="1"/>
        </xdr:cNvPicPr>
      </xdr:nvPicPr>
      <xdr:blipFill>
        <a:blip xmlns:r="http://schemas.openxmlformats.org/officeDocument/2006/relationships" r:embed="rId2"/>
        <a:stretch>
          <a:fillRect/>
        </a:stretch>
      </xdr:blipFill>
      <xdr:spPr>
        <a:xfrm>
          <a:off x="440073" y="3876675"/>
          <a:ext cx="8281854" cy="3317741"/>
        </a:xfrm>
        <a:prstGeom prst="rect">
          <a:avLst/>
        </a:prstGeom>
      </xdr:spPr>
    </xdr:pic>
    <xdr:clientData/>
  </xdr:twoCellAnchor>
  <xdr:twoCellAnchor>
    <xdr:from>
      <xdr:col>2</xdr:col>
      <xdr:colOff>377289</xdr:colOff>
      <xdr:row>2</xdr:row>
      <xdr:rowOff>128291</xdr:rowOff>
    </xdr:from>
    <xdr:to>
      <xdr:col>4</xdr:col>
      <xdr:colOff>541119</xdr:colOff>
      <xdr:row>3</xdr:row>
      <xdr:rowOff>646451</xdr:rowOff>
    </xdr:to>
    <xdr:cxnSp macro="">
      <xdr:nvCxnSpPr>
        <xdr:cNvPr id="24" name="Straight Connector 23">
          <a:extLst>
            <a:ext uri="{FF2B5EF4-FFF2-40B4-BE49-F238E27FC236}">
              <a16:creationId xmlns:a16="http://schemas.microsoft.com/office/drawing/2014/main" id="{87DB432C-15B6-482C-B7A6-8049367AE153}"/>
            </a:ext>
          </a:extLst>
        </xdr:cNvPr>
        <xdr:cNvCxnSpPr>
          <a:cxnSpLocks/>
        </xdr:cNvCxnSpPr>
      </xdr:nvCxnSpPr>
      <xdr:spPr>
        <a:xfrm flipV="1">
          <a:off x="1460758" y="1461791"/>
          <a:ext cx="1818799" cy="128016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377289</xdr:colOff>
      <xdr:row>3</xdr:row>
      <xdr:rowOff>646451</xdr:rowOff>
    </xdr:from>
    <xdr:to>
      <xdr:col>6</xdr:col>
      <xdr:colOff>456030</xdr:colOff>
      <xdr:row>3</xdr:row>
      <xdr:rowOff>646451</xdr:rowOff>
    </xdr:to>
    <xdr:cxnSp macro="">
      <xdr:nvCxnSpPr>
        <xdr:cNvPr id="25" name="Straight Connector 24">
          <a:extLst>
            <a:ext uri="{FF2B5EF4-FFF2-40B4-BE49-F238E27FC236}">
              <a16:creationId xmlns:a16="http://schemas.microsoft.com/office/drawing/2014/main" id="{3C6F0E18-5A44-4192-A833-1470D9066625}"/>
            </a:ext>
          </a:extLst>
        </xdr:cNvPr>
        <xdr:cNvCxnSpPr>
          <a:cxnSpLocks/>
        </xdr:cNvCxnSpPr>
      </xdr:nvCxnSpPr>
      <xdr:spPr>
        <a:xfrm>
          <a:off x="1460758" y="2741951"/>
          <a:ext cx="3388678" cy="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456032</xdr:colOff>
      <xdr:row>3</xdr:row>
      <xdr:rowOff>93777</xdr:rowOff>
    </xdr:from>
    <xdr:to>
      <xdr:col>6</xdr:col>
      <xdr:colOff>456032</xdr:colOff>
      <xdr:row>3</xdr:row>
      <xdr:rowOff>657657</xdr:rowOff>
    </xdr:to>
    <xdr:cxnSp macro="">
      <xdr:nvCxnSpPr>
        <xdr:cNvPr id="26" name="Straight Connector 25">
          <a:extLst>
            <a:ext uri="{FF2B5EF4-FFF2-40B4-BE49-F238E27FC236}">
              <a16:creationId xmlns:a16="http://schemas.microsoft.com/office/drawing/2014/main" id="{9CFD614C-B1F9-4B82-8D9D-0181A51D31DB}"/>
            </a:ext>
          </a:extLst>
        </xdr:cNvPr>
        <xdr:cNvCxnSpPr>
          <a:cxnSpLocks/>
        </xdr:cNvCxnSpPr>
      </xdr:nvCxnSpPr>
      <xdr:spPr>
        <a:xfrm>
          <a:off x="4849438" y="2189277"/>
          <a:ext cx="0" cy="56388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541119</xdr:colOff>
      <xdr:row>2</xdr:row>
      <xdr:rowOff>128291</xdr:rowOff>
    </xdr:from>
    <xdr:to>
      <xdr:col>6</xdr:col>
      <xdr:colOff>456030</xdr:colOff>
      <xdr:row>3</xdr:row>
      <xdr:rowOff>82571</xdr:rowOff>
    </xdr:to>
    <xdr:cxnSp macro="">
      <xdr:nvCxnSpPr>
        <xdr:cNvPr id="27" name="Straight Connector 26">
          <a:extLst>
            <a:ext uri="{FF2B5EF4-FFF2-40B4-BE49-F238E27FC236}">
              <a16:creationId xmlns:a16="http://schemas.microsoft.com/office/drawing/2014/main" id="{1031A34F-BA75-425E-B5AE-070EAA51D6DF}"/>
            </a:ext>
          </a:extLst>
        </xdr:cNvPr>
        <xdr:cNvCxnSpPr>
          <a:cxnSpLocks/>
        </xdr:cNvCxnSpPr>
      </xdr:nvCxnSpPr>
      <xdr:spPr>
        <a:xfrm>
          <a:off x="3279557" y="1461791"/>
          <a:ext cx="1569879" cy="71628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323948</xdr:colOff>
      <xdr:row>3</xdr:row>
      <xdr:rowOff>483233</xdr:rowOff>
    </xdr:from>
    <xdr:to>
      <xdr:col>2</xdr:col>
      <xdr:colOff>598268</xdr:colOff>
      <xdr:row>3</xdr:row>
      <xdr:rowOff>757553</xdr:rowOff>
    </xdr:to>
    <xdr:sp macro="" textlink="">
      <xdr:nvSpPr>
        <xdr:cNvPr id="28" name="Oval 27">
          <a:extLst>
            <a:ext uri="{FF2B5EF4-FFF2-40B4-BE49-F238E27FC236}">
              <a16:creationId xmlns:a16="http://schemas.microsoft.com/office/drawing/2014/main" id="{ED6A8AA5-ED32-4B1C-95A2-A2932F96E0EE}"/>
            </a:ext>
          </a:extLst>
        </xdr:cNvPr>
        <xdr:cNvSpPr/>
      </xdr:nvSpPr>
      <xdr:spPr>
        <a:xfrm>
          <a:off x="1407417" y="2578733"/>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4</xdr:col>
      <xdr:colOff>444599</xdr:colOff>
      <xdr:row>2</xdr:row>
      <xdr:rowOff>2238</xdr:rowOff>
    </xdr:from>
    <xdr:to>
      <xdr:col>4</xdr:col>
      <xdr:colOff>726538</xdr:colOff>
      <xdr:row>2</xdr:row>
      <xdr:rowOff>265740</xdr:rowOff>
    </xdr:to>
    <xdr:sp macro="" textlink="">
      <xdr:nvSpPr>
        <xdr:cNvPr id="29" name="Oval 28">
          <a:extLst>
            <a:ext uri="{FF2B5EF4-FFF2-40B4-BE49-F238E27FC236}">
              <a16:creationId xmlns:a16="http://schemas.microsoft.com/office/drawing/2014/main" id="{042798E1-404C-4081-8FE9-1B508194BE69}"/>
            </a:ext>
          </a:extLst>
        </xdr:cNvPr>
        <xdr:cNvSpPr/>
      </xdr:nvSpPr>
      <xdr:spPr>
        <a:xfrm>
          <a:off x="3183037" y="1335738"/>
          <a:ext cx="281939" cy="263502"/>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6</xdr:col>
      <xdr:colOff>318870</xdr:colOff>
      <xdr:row>3</xdr:row>
      <xdr:rowOff>520498</xdr:rowOff>
    </xdr:from>
    <xdr:to>
      <xdr:col>6</xdr:col>
      <xdr:colOff>593190</xdr:colOff>
      <xdr:row>4</xdr:row>
      <xdr:rowOff>32818</xdr:rowOff>
    </xdr:to>
    <xdr:sp macro="" textlink="">
      <xdr:nvSpPr>
        <xdr:cNvPr id="30" name="Oval 29">
          <a:extLst>
            <a:ext uri="{FF2B5EF4-FFF2-40B4-BE49-F238E27FC236}">
              <a16:creationId xmlns:a16="http://schemas.microsoft.com/office/drawing/2014/main" id="{12E91E16-E9AC-414E-95E1-510D4280A68D}"/>
            </a:ext>
          </a:extLst>
        </xdr:cNvPr>
        <xdr:cNvSpPr/>
      </xdr:nvSpPr>
      <xdr:spPr>
        <a:xfrm>
          <a:off x="4712276" y="2615998"/>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6</xdr:col>
      <xdr:colOff>313790</xdr:colOff>
      <xdr:row>2</xdr:row>
      <xdr:rowOff>684479</xdr:rowOff>
    </xdr:from>
    <xdr:to>
      <xdr:col>6</xdr:col>
      <xdr:colOff>588110</xdr:colOff>
      <xdr:row>3</xdr:row>
      <xdr:rowOff>196799</xdr:rowOff>
    </xdr:to>
    <xdr:sp macro="" textlink="">
      <xdr:nvSpPr>
        <xdr:cNvPr id="31" name="Oval 30">
          <a:extLst>
            <a:ext uri="{FF2B5EF4-FFF2-40B4-BE49-F238E27FC236}">
              <a16:creationId xmlns:a16="http://schemas.microsoft.com/office/drawing/2014/main" id="{4B64F398-B3B4-4986-B7F8-F528DEE0B69C}"/>
            </a:ext>
          </a:extLst>
        </xdr:cNvPr>
        <xdr:cNvSpPr/>
      </xdr:nvSpPr>
      <xdr:spPr>
        <a:xfrm>
          <a:off x="4707196" y="2017979"/>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3</xdr:col>
      <xdr:colOff>767815</xdr:colOff>
      <xdr:row>3</xdr:row>
      <xdr:rowOff>609105</xdr:rowOff>
    </xdr:from>
    <xdr:to>
      <xdr:col>5</xdr:col>
      <xdr:colOff>217904</xdr:colOff>
      <xdr:row>4</xdr:row>
      <xdr:rowOff>104355</xdr:rowOff>
    </xdr:to>
    <xdr:sp macro="" textlink="">
      <xdr:nvSpPr>
        <xdr:cNvPr id="32" name="TextBox 22">
          <a:extLst>
            <a:ext uri="{FF2B5EF4-FFF2-40B4-BE49-F238E27FC236}">
              <a16:creationId xmlns:a16="http://schemas.microsoft.com/office/drawing/2014/main" id="{384822AB-19FA-4BF1-BC88-7271AD049A19}"/>
            </a:ext>
          </a:extLst>
        </xdr:cNvPr>
        <xdr:cNvSpPr txBox="1"/>
      </xdr:nvSpPr>
      <xdr:spPr>
        <a:xfrm>
          <a:off x="2678768" y="2704605"/>
          <a:ext cx="1105058"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60</a:t>
          </a:r>
        </a:p>
      </xdr:txBody>
    </xdr:sp>
    <xdr:clientData/>
  </xdr:twoCellAnchor>
  <xdr:twoCellAnchor>
    <xdr:from>
      <xdr:col>2</xdr:col>
      <xdr:colOff>630020</xdr:colOff>
      <xdr:row>2</xdr:row>
      <xdr:rowOff>483529</xdr:rowOff>
    </xdr:from>
    <xdr:to>
      <xdr:col>4</xdr:col>
      <xdr:colOff>80109</xdr:colOff>
      <xdr:row>2</xdr:row>
      <xdr:rowOff>740779</xdr:rowOff>
    </xdr:to>
    <xdr:sp macro="" textlink="">
      <xdr:nvSpPr>
        <xdr:cNvPr id="33" name="TextBox 23">
          <a:extLst>
            <a:ext uri="{FF2B5EF4-FFF2-40B4-BE49-F238E27FC236}">
              <a16:creationId xmlns:a16="http://schemas.microsoft.com/office/drawing/2014/main" id="{290D9668-0A8E-4CF8-90AD-EB73ADFA9F60}"/>
            </a:ext>
          </a:extLst>
        </xdr:cNvPr>
        <xdr:cNvSpPr txBox="1"/>
      </xdr:nvSpPr>
      <xdr:spPr>
        <a:xfrm>
          <a:off x="1713489" y="1817029"/>
          <a:ext cx="1105058"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40</a:t>
          </a:r>
        </a:p>
      </xdr:txBody>
    </xdr:sp>
    <xdr:clientData/>
  </xdr:twoCellAnchor>
  <xdr:twoCellAnchor>
    <xdr:from>
      <xdr:col>5</xdr:col>
      <xdr:colOff>37565</xdr:colOff>
      <xdr:row>2</xdr:row>
      <xdr:rowOff>214766</xdr:rowOff>
    </xdr:from>
    <xdr:to>
      <xdr:col>6</xdr:col>
      <xdr:colOff>316329</xdr:colOff>
      <xdr:row>2</xdr:row>
      <xdr:rowOff>472016</xdr:rowOff>
    </xdr:to>
    <xdr:sp macro="" textlink="">
      <xdr:nvSpPr>
        <xdr:cNvPr id="34" name="TextBox 24">
          <a:extLst>
            <a:ext uri="{FF2B5EF4-FFF2-40B4-BE49-F238E27FC236}">
              <a16:creationId xmlns:a16="http://schemas.microsoft.com/office/drawing/2014/main" id="{62059471-AD3D-46F2-B30F-FAA4DCB30C09}"/>
            </a:ext>
          </a:extLst>
        </xdr:cNvPr>
        <xdr:cNvSpPr txBox="1"/>
      </xdr:nvSpPr>
      <xdr:spPr>
        <a:xfrm>
          <a:off x="3603487" y="1548266"/>
          <a:ext cx="1106248"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30</a:t>
          </a:r>
        </a:p>
      </xdr:txBody>
    </xdr:sp>
    <xdr:clientData/>
  </xdr:twoCellAnchor>
  <xdr:twoCellAnchor>
    <xdr:from>
      <xdr:col>6</xdr:col>
      <xdr:colOff>238125</xdr:colOff>
      <xdr:row>3</xdr:row>
      <xdr:rowOff>577099</xdr:rowOff>
    </xdr:from>
    <xdr:to>
      <xdr:col>6</xdr:col>
      <xdr:colOff>667989</xdr:colOff>
      <xdr:row>3</xdr:row>
      <xdr:rowOff>756457</xdr:rowOff>
    </xdr:to>
    <xdr:sp macro="" textlink="">
      <xdr:nvSpPr>
        <xdr:cNvPr id="35" name="TextBox 26">
          <a:extLst>
            <a:ext uri="{FF2B5EF4-FFF2-40B4-BE49-F238E27FC236}">
              <a16:creationId xmlns:a16="http://schemas.microsoft.com/office/drawing/2014/main" id="{532EC466-513F-4F46-A37F-7371B347953E}"/>
            </a:ext>
          </a:extLst>
        </xdr:cNvPr>
        <xdr:cNvSpPr txBox="1"/>
      </xdr:nvSpPr>
      <xdr:spPr>
        <a:xfrm>
          <a:off x="4631531" y="2672599"/>
          <a:ext cx="429864" cy="179358"/>
        </a:xfrm>
        <a:prstGeom prst="rect">
          <a:avLst/>
        </a:prstGeom>
        <a:noFill/>
        <a:ln>
          <a:noFill/>
        </a:ln>
      </xdr:spPr>
      <xdr:txBody>
        <a:bodyPr wrap="square" lIns="0" tIns="0" rIns="0" bIns="0" rtlCol="0">
          <a:no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C1</a:t>
          </a:r>
        </a:p>
      </xdr:txBody>
    </xdr:sp>
    <xdr:clientData/>
  </xdr:twoCellAnchor>
  <xdr:twoCellAnchor>
    <xdr:from>
      <xdr:col>6</xdr:col>
      <xdr:colOff>254417</xdr:colOff>
      <xdr:row>2</xdr:row>
      <xdr:rowOff>740938</xdr:rowOff>
    </xdr:from>
    <xdr:to>
      <xdr:col>6</xdr:col>
      <xdr:colOff>645577</xdr:colOff>
      <xdr:row>3</xdr:row>
      <xdr:rowOff>139688</xdr:rowOff>
    </xdr:to>
    <xdr:sp macro="" textlink="">
      <xdr:nvSpPr>
        <xdr:cNvPr id="36" name="TextBox 27">
          <a:extLst>
            <a:ext uri="{FF2B5EF4-FFF2-40B4-BE49-F238E27FC236}">
              <a16:creationId xmlns:a16="http://schemas.microsoft.com/office/drawing/2014/main" id="{CB0311E3-4D5B-4232-BBFF-2F3ECD6C28E8}"/>
            </a:ext>
          </a:extLst>
        </xdr:cNvPr>
        <xdr:cNvSpPr txBox="1"/>
      </xdr:nvSpPr>
      <xdr:spPr>
        <a:xfrm>
          <a:off x="4647823" y="2074438"/>
          <a:ext cx="391160" cy="1607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C2</a:t>
          </a:r>
        </a:p>
      </xdr:txBody>
    </xdr:sp>
    <xdr:clientData/>
  </xdr:twoCellAnchor>
  <xdr:twoCellAnchor>
    <xdr:from>
      <xdr:col>4</xdr:col>
      <xdr:colOff>389988</xdr:colOff>
      <xdr:row>2</xdr:row>
      <xdr:rowOff>54264</xdr:rowOff>
    </xdr:from>
    <xdr:to>
      <xdr:col>4</xdr:col>
      <xdr:colOff>781148</xdr:colOff>
      <xdr:row>2</xdr:row>
      <xdr:rowOff>215014</xdr:rowOff>
    </xdr:to>
    <xdr:sp macro="" textlink="">
      <xdr:nvSpPr>
        <xdr:cNvPr id="37" name="TextBox 28">
          <a:extLst>
            <a:ext uri="{FF2B5EF4-FFF2-40B4-BE49-F238E27FC236}">
              <a16:creationId xmlns:a16="http://schemas.microsoft.com/office/drawing/2014/main" id="{26922DBA-275C-4D25-89EC-CE5ECF59C83B}"/>
            </a:ext>
          </a:extLst>
        </xdr:cNvPr>
        <xdr:cNvSpPr txBox="1"/>
      </xdr:nvSpPr>
      <xdr:spPr>
        <a:xfrm>
          <a:off x="3128426" y="1387764"/>
          <a:ext cx="391160" cy="1607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P2</a:t>
          </a:r>
        </a:p>
      </xdr:txBody>
    </xdr:sp>
    <xdr:clientData/>
  </xdr:twoCellAnchor>
  <xdr:twoCellAnchor>
    <xdr:from>
      <xdr:col>2</xdr:col>
      <xdr:colOff>265528</xdr:colOff>
      <xdr:row>3</xdr:row>
      <xdr:rowOff>540018</xdr:rowOff>
    </xdr:from>
    <xdr:to>
      <xdr:col>2</xdr:col>
      <xdr:colOff>656688</xdr:colOff>
      <xdr:row>3</xdr:row>
      <xdr:rowOff>700768</xdr:rowOff>
    </xdr:to>
    <xdr:sp macro="" textlink="">
      <xdr:nvSpPr>
        <xdr:cNvPr id="38" name="TextBox 29">
          <a:extLst>
            <a:ext uri="{FF2B5EF4-FFF2-40B4-BE49-F238E27FC236}">
              <a16:creationId xmlns:a16="http://schemas.microsoft.com/office/drawing/2014/main" id="{899D9FAA-4693-405B-BAF7-D5E160558334}"/>
            </a:ext>
          </a:extLst>
        </xdr:cNvPr>
        <xdr:cNvSpPr txBox="1"/>
      </xdr:nvSpPr>
      <xdr:spPr>
        <a:xfrm>
          <a:off x="1348997" y="2635518"/>
          <a:ext cx="391160" cy="1607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P1</a:t>
          </a:r>
        </a:p>
      </xdr:txBody>
    </xdr:sp>
    <xdr:clientData/>
  </xdr:twoCellAnchor>
  <xdr:twoCellAnchor>
    <xdr:from>
      <xdr:col>6</xdr:col>
      <xdr:colOff>410085</xdr:colOff>
      <xdr:row>3</xdr:row>
      <xdr:rowOff>202263</xdr:rowOff>
    </xdr:from>
    <xdr:to>
      <xdr:col>7</xdr:col>
      <xdr:colOff>2557</xdr:colOff>
      <xdr:row>3</xdr:row>
      <xdr:rowOff>471504</xdr:rowOff>
    </xdr:to>
    <xdr:sp macro="" textlink="">
      <xdr:nvSpPr>
        <xdr:cNvPr id="39" name="TextBox 25">
          <a:extLst>
            <a:ext uri="{FF2B5EF4-FFF2-40B4-BE49-F238E27FC236}">
              <a16:creationId xmlns:a16="http://schemas.microsoft.com/office/drawing/2014/main" id="{91BC053E-DC27-4F9C-9151-C25BE9A317BC}"/>
            </a:ext>
          </a:extLst>
        </xdr:cNvPr>
        <xdr:cNvSpPr txBox="1"/>
      </xdr:nvSpPr>
      <xdr:spPr>
        <a:xfrm>
          <a:off x="4803491" y="2297763"/>
          <a:ext cx="419957" cy="269241"/>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10</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272720</xdr:colOff>
      <xdr:row>1</xdr:row>
      <xdr:rowOff>9525</xdr:rowOff>
    </xdr:to>
    <xdr:pic>
      <xdr:nvPicPr>
        <xdr:cNvPr id="2" name="Picture 1">
          <a:extLst>
            <a:ext uri="{FF2B5EF4-FFF2-40B4-BE49-F238E27FC236}">
              <a16:creationId xmlns:a16="http://schemas.microsoft.com/office/drawing/2014/main" id="{980A6CB1-C48D-4CC8-8426-5046E5789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9</xdr:col>
      <xdr:colOff>272720</xdr:colOff>
      <xdr:row>1</xdr:row>
      <xdr:rowOff>9525</xdr:rowOff>
    </xdr:to>
    <xdr:pic>
      <xdr:nvPicPr>
        <xdr:cNvPr id="9" name="Picture 8">
          <a:extLst>
            <a:ext uri="{FF2B5EF4-FFF2-40B4-BE49-F238E27FC236}">
              <a16:creationId xmlns:a16="http://schemas.microsoft.com/office/drawing/2014/main" id="{47D8315C-62A9-4D8B-85D6-20D4D9696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359411</xdr:colOff>
      <xdr:row>2</xdr:row>
      <xdr:rowOff>128291</xdr:rowOff>
    </xdr:from>
    <xdr:to>
      <xdr:col>11</xdr:col>
      <xdr:colOff>523241</xdr:colOff>
      <xdr:row>3</xdr:row>
      <xdr:rowOff>646451</xdr:rowOff>
    </xdr:to>
    <xdr:cxnSp macro="">
      <xdr:nvCxnSpPr>
        <xdr:cNvPr id="34" name="Straight Connector 33">
          <a:extLst>
            <a:ext uri="{FF2B5EF4-FFF2-40B4-BE49-F238E27FC236}">
              <a16:creationId xmlns:a16="http://schemas.microsoft.com/office/drawing/2014/main" id="{B38EDAEC-9717-45AF-A2FC-E090A8E11F47}"/>
            </a:ext>
          </a:extLst>
        </xdr:cNvPr>
        <xdr:cNvCxnSpPr>
          <a:cxnSpLocks/>
        </xdr:cNvCxnSpPr>
      </xdr:nvCxnSpPr>
      <xdr:spPr>
        <a:xfrm flipV="1">
          <a:off x="7245986" y="1461791"/>
          <a:ext cx="1821180" cy="128016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359411</xdr:colOff>
      <xdr:row>3</xdr:row>
      <xdr:rowOff>646451</xdr:rowOff>
    </xdr:from>
    <xdr:to>
      <xdr:col>13</xdr:col>
      <xdr:colOff>438151</xdr:colOff>
      <xdr:row>3</xdr:row>
      <xdr:rowOff>646451</xdr:rowOff>
    </xdr:to>
    <xdr:cxnSp macro="">
      <xdr:nvCxnSpPr>
        <xdr:cNvPr id="35" name="Straight Connector 34">
          <a:extLst>
            <a:ext uri="{FF2B5EF4-FFF2-40B4-BE49-F238E27FC236}">
              <a16:creationId xmlns:a16="http://schemas.microsoft.com/office/drawing/2014/main" id="{E63F0743-CC69-429D-8882-8681F3DC0C37}"/>
            </a:ext>
          </a:extLst>
        </xdr:cNvPr>
        <xdr:cNvCxnSpPr>
          <a:cxnSpLocks/>
        </xdr:cNvCxnSpPr>
      </xdr:nvCxnSpPr>
      <xdr:spPr>
        <a:xfrm>
          <a:off x="7245986" y="2741951"/>
          <a:ext cx="3393440" cy="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438151</xdr:colOff>
      <xdr:row>3</xdr:row>
      <xdr:rowOff>93777</xdr:rowOff>
    </xdr:from>
    <xdr:to>
      <xdr:col>13</xdr:col>
      <xdr:colOff>438151</xdr:colOff>
      <xdr:row>3</xdr:row>
      <xdr:rowOff>657657</xdr:rowOff>
    </xdr:to>
    <xdr:cxnSp macro="">
      <xdr:nvCxnSpPr>
        <xdr:cNvPr id="36" name="Straight Connector 35">
          <a:extLst>
            <a:ext uri="{FF2B5EF4-FFF2-40B4-BE49-F238E27FC236}">
              <a16:creationId xmlns:a16="http://schemas.microsoft.com/office/drawing/2014/main" id="{CB338051-2014-4001-AF4A-6429A810DF97}"/>
            </a:ext>
          </a:extLst>
        </xdr:cNvPr>
        <xdr:cNvCxnSpPr>
          <a:cxnSpLocks/>
        </xdr:cNvCxnSpPr>
      </xdr:nvCxnSpPr>
      <xdr:spPr>
        <a:xfrm>
          <a:off x="10639426" y="2189277"/>
          <a:ext cx="0" cy="56388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523241</xdr:colOff>
      <xdr:row>2</xdr:row>
      <xdr:rowOff>128291</xdr:rowOff>
    </xdr:from>
    <xdr:to>
      <xdr:col>13</xdr:col>
      <xdr:colOff>438151</xdr:colOff>
      <xdr:row>3</xdr:row>
      <xdr:rowOff>82571</xdr:rowOff>
    </xdr:to>
    <xdr:cxnSp macro="">
      <xdr:nvCxnSpPr>
        <xdr:cNvPr id="37" name="Straight Connector 36">
          <a:extLst>
            <a:ext uri="{FF2B5EF4-FFF2-40B4-BE49-F238E27FC236}">
              <a16:creationId xmlns:a16="http://schemas.microsoft.com/office/drawing/2014/main" id="{D0C2C914-BA47-4079-83AB-1710A21BAF7A}"/>
            </a:ext>
          </a:extLst>
        </xdr:cNvPr>
        <xdr:cNvCxnSpPr>
          <a:cxnSpLocks/>
        </xdr:cNvCxnSpPr>
      </xdr:nvCxnSpPr>
      <xdr:spPr>
        <a:xfrm>
          <a:off x="9067166" y="1461791"/>
          <a:ext cx="1572260" cy="716280"/>
        </a:xfrm>
        <a:prstGeom prst="line">
          <a:avLst/>
        </a:prstGeom>
        <a:ln w="285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306070</xdr:colOff>
      <xdr:row>3</xdr:row>
      <xdr:rowOff>483233</xdr:rowOff>
    </xdr:from>
    <xdr:to>
      <xdr:col>9</xdr:col>
      <xdr:colOff>580390</xdr:colOff>
      <xdr:row>3</xdr:row>
      <xdr:rowOff>757553</xdr:rowOff>
    </xdr:to>
    <xdr:sp macro="" textlink="">
      <xdr:nvSpPr>
        <xdr:cNvPr id="38" name="Oval 37">
          <a:extLst>
            <a:ext uri="{FF2B5EF4-FFF2-40B4-BE49-F238E27FC236}">
              <a16:creationId xmlns:a16="http://schemas.microsoft.com/office/drawing/2014/main" id="{E1667A27-23BB-4472-85AB-68D7F6041E05}"/>
            </a:ext>
          </a:extLst>
        </xdr:cNvPr>
        <xdr:cNvSpPr/>
      </xdr:nvSpPr>
      <xdr:spPr>
        <a:xfrm>
          <a:off x="7192645" y="2578733"/>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11</xdr:col>
      <xdr:colOff>426721</xdr:colOff>
      <xdr:row>2</xdr:row>
      <xdr:rowOff>2238</xdr:rowOff>
    </xdr:from>
    <xdr:to>
      <xdr:col>11</xdr:col>
      <xdr:colOff>708660</xdr:colOff>
      <xdr:row>2</xdr:row>
      <xdr:rowOff>265740</xdr:rowOff>
    </xdr:to>
    <xdr:sp macro="" textlink="">
      <xdr:nvSpPr>
        <xdr:cNvPr id="39" name="Oval 38">
          <a:extLst>
            <a:ext uri="{FF2B5EF4-FFF2-40B4-BE49-F238E27FC236}">
              <a16:creationId xmlns:a16="http://schemas.microsoft.com/office/drawing/2014/main" id="{97891A42-FB2B-461C-9F7F-167CD622DACA}"/>
            </a:ext>
          </a:extLst>
        </xdr:cNvPr>
        <xdr:cNvSpPr/>
      </xdr:nvSpPr>
      <xdr:spPr>
        <a:xfrm>
          <a:off x="8970646" y="1335738"/>
          <a:ext cx="281939" cy="263502"/>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13</xdr:col>
      <xdr:colOff>300991</xdr:colOff>
      <xdr:row>3</xdr:row>
      <xdr:rowOff>520498</xdr:rowOff>
    </xdr:from>
    <xdr:to>
      <xdr:col>13</xdr:col>
      <xdr:colOff>575311</xdr:colOff>
      <xdr:row>4</xdr:row>
      <xdr:rowOff>32818</xdr:rowOff>
    </xdr:to>
    <xdr:sp macro="" textlink="">
      <xdr:nvSpPr>
        <xdr:cNvPr id="40" name="Oval 39">
          <a:extLst>
            <a:ext uri="{FF2B5EF4-FFF2-40B4-BE49-F238E27FC236}">
              <a16:creationId xmlns:a16="http://schemas.microsoft.com/office/drawing/2014/main" id="{7D26F45D-6A1E-45D5-9A09-AF423DFACD46}"/>
            </a:ext>
          </a:extLst>
        </xdr:cNvPr>
        <xdr:cNvSpPr/>
      </xdr:nvSpPr>
      <xdr:spPr>
        <a:xfrm>
          <a:off x="10502266" y="2615998"/>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13</xdr:col>
      <xdr:colOff>295911</xdr:colOff>
      <xdr:row>2</xdr:row>
      <xdr:rowOff>684479</xdr:rowOff>
    </xdr:from>
    <xdr:to>
      <xdr:col>13</xdr:col>
      <xdr:colOff>570231</xdr:colOff>
      <xdr:row>3</xdr:row>
      <xdr:rowOff>196799</xdr:rowOff>
    </xdr:to>
    <xdr:sp macro="" textlink="">
      <xdr:nvSpPr>
        <xdr:cNvPr id="41" name="Oval 40">
          <a:extLst>
            <a:ext uri="{FF2B5EF4-FFF2-40B4-BE49-F238E27FC236}">
              <a16:creationId xmlns:a16="http://schemas.microsoft.com/office/drawing/2014/main" id="{69B2A851-EB06-470F-9A6C-5C32B0275858}"/>
            </a:ext>
          </a:extLst>
        </xdr:cNvPr>
        <xdr:cNvSpPr/>
      </xdr:nvSpPr>
      <xdr:spPr>
        <a:xfrm>
          <a:off x="10497186" y="2017979"/>
          <a:ext cx="274320" cy="274320"/>
        </a:xfrm>
        <a:prstGeom prst="ellipse">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algn="l" rtl="0" fontAlgn="base">
            <a:spcBef>
              <a:spcPct val="0"/>
            </a:spcBef>
            <a:spcAft>
              <a:spcPct val="0"/>
            </a:spcAft>
            <a:defRPr kern="1200">
              <a:solidFill>
                <a:schemeClr val="lt1"/>
              </a:solidFill>
              <a:latin typeface="+mn-lt"/>
              <a:ea typeface="+mn-ea"/>
              <a:cs typeface="+mn-cs"/>
            </a:defRPr>
          </a:lvl1pPr>
          <a:lvl2pPr marL="457200" algn="l" rtl="0" fontAlgn="base">
            <a:spcBef>
              <a:spcPct val="0"/>
            </a:spcBef>
            <a:spcAft>
              <a:spcPct val="0"/>
            </a:spcAft>
            <a:defRPr kern="1200">
              <a:solidFill>
                <a:schemeClr val="lt1"/>
              </a:solidFill>
              <a:latin typeface="+mn-lt"/>
              <a:ea typeface="+mn-ea"/>
              <a:cs typeface="+mn-cs"/>
            </a:defRPr>
          </a:lvl2pPr>
          <a:lvl3pPr marL="914400" algn="l" rtl="0" fontAlgn="base">
            <a:spcBef>
              <a:spcPct val="0"/>
            </a:spcBef>
            <a:spcAft>
              <a:spcPct val="0"/>
            </a:spcAft>
            <a:defRPr kern="1200">
              <a:solidFill>
                <a:schemeClr val="lt1"/>
              </a:solidFill>
              <a:latin typeface="+mn-lt"/>
              <a:ea typeface="+mn-ea"/>
              <a:cs typeface="+mn-cs"/>
            </a:defRPr>
          </a:lvl3pPr>
          <a:lvl4pPr marL="1371600" algn="l" rtl="0" fontAlgn="base">
            <a:spcBef>
              <a:spcPct val="0"/>
            </a:spcBef>
            <a:spcAft>
              <a:spcPct val="0"/>
            </a:spcAft>
            <a:defRPr kern="1200">
              <a:solidFill>
                <a:schemeClr val="lt1"/>
              </a:solidFill>
              <a:latin typeface="+mn-lt"/>
              <a:ea typeface="+mn-ea"/>
              <a:cs typeface="+mn-cs"/>
            </a:defRPr>
          </a:lvl4pPr>
          <a:lvl5pPr marL="1828800" algn="l" rtl="0" fontAlgn="base">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lnSpc>
              <a:spcPct val="114000"/>
            </a:lnSpc>
          </a:pPr>
          <a:endParaRPr lang="en-US"/>
        </a:p>
      </xdr:txBody>
    </xdr:sp>
    <xdr:clientData/>
  </xdr:twoCellAnchor>
  <xdr:twoCellAnchor>
    <xdr:from>
      <xdr:col>10</xdr:col>
      <xdr:colOff>749936</xdr:colOff>
      <xdr:row>3</xdr:row>
      <xdr:rowOff>609105</xdr:rowOff>
    </xdr:from>
    <xdr:to>
      <xdr:col>12</xdr:col>
      <xdr:colOff>200025</xdr:colOff>
      <xdr:row>4</xdr:row>
      <xdr:rowOff>104355</xdr:rowOff>
    </xdr:to>
    <xdr:sp macro="" textlink="">
      <xdr:nvSpPr>
        <xdr:cNvPr id="42" name="TextBox 22">
          <a:extLst>
            <a:ext uri="{FF2B5EF4-FFF2-40B4-BE49-F238E27FC236}">
              <a16:creationId xmlns:a16="http://schemas.microsoft.com/office/drawing/2014/main" id="{1C82B298-5792-42D2-887A-4A8AA7147E38}"/>
            </a:ext>
          </a:extLst>
        </xdr:cNvPr>
        <xdr:cNvSpPr txBox="1"/>
      </xdr:nvSpPr>
      <xdr:spPr>
        <a:xfrm>
          <a:off x="8465186" y="2704605"/>
          <a:ext cx="1107439"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60</a:t>
          </a:r>
        </a:p>
      </xdr:txBody>
    </xdr:sp>
    <xdr:clientData/>
  </xdr:twoCellAnchor>
  <xdr:twoCellAnchor>
    <xdr:from>
      <xdr:col>9</xdr:col>
      <xdr:colOff>612142</xdr:colOff>
      <xdr:row>2</xdr:row>
      <xdr:rowOff>483529</xdr:rowOff>
    </xdr:from>
    <xdr:to>
      <xdr:col>11</xdr:col>
      <xdr:colOff>62231</xdr:colOff>
      <xdr:row>2</xdr:row>
      <xdr:rowOff>740779</xdr:rowOff>
    </xdr:to>
    <xdr:sp macro="" textlink="">
      <xdr:nvSpPr>
        <xdr:cNvPr id="43" name="TextBox 23">
          <a:extLst>
            <a:ext uri="{FF2B5EF4-FFF2-40B4-BE49-F238E27FC236}">
              <a16:creationId xmlns:a16="http://schemas.microsoft.com/office/drawing/2014/main" id="{E614198D-636C-4351-B0EF-ADCF6FF1338E}"/>
            </a:ext>
          </a:extLst>
        </xdr:cNvPr>
        <xdr:cNvSpPr txBox="1"/>
      </xdr:nvSpPr>
      <xdr:spPr>
        <a:xfrm>
          <a:off x="7498717" y="1817029"/>
          <a:ext cx="1107439"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40</a:t>
          </a:r>
        </a:p>
      </xdr:txBody>
    </xdr:sp>
    <xdr:clientData/>
  </xdr:twoCellAnchor>
  <xdr:twoCellAnchor>
    <xdr:from>
      <xdr:col>12</xdr:col>
      <xdr:colOff>19686</xdr:colOff>
      <xdr:row>2</xdr:row>
      <xdr:rowOff>214766</xdr:rowOff>
    </xdr:from>
    <xdr:to>
      <xdr:col>13</xdr:col>
      <xdr:colOff>298450</xdr:colOff>
      <xdr:row>2</xdr:row>
      <xdr:rowOff>472016</xdr:rowOff>
    </xdr:to>
    <xdr:sp macro="" textlink="">
      <xdr:nvSpPr>
        <xdr:cNvPr id="44" name="TextBox 24">
          <a:extLst>
            <a:ext uri="{FF2B5EF4-FFF2-40B4-BE49-F238E27FC236}">
              <a16:creationId xmlns:a16="http://schemas.microsoft.com/office/drawing/2014/main" id="{E0A3C447-9014-4B9B-B6AA-1E0CDACA1171}"/>
            </a:ext>
          </a:extLst>
        </xdr:cNvPr>
        <xdr:cNvSpPr txBox="1"/>
      </xdr:nvSpPr>
      <xdr:spPr>
        <a:xfrm>
          <a:off x="9392286" y="1548266"/>
          <a:ext cx="1107439" cy="257250"/>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30</a:t>
          </a:r>
        </a:p>
      </xdr:txBody>
    </xdr:sp>
    <xdr:clientData/>
  </xdr:twoCellAnchor>
  <xdr:twoCellAnchor>
    <xdr:from>
      <xdr:col>13</xdr:col>
      <xdr:colOff>258950</xdr:colOff>
      <xdr:row>3</xdr:row>
      <xdr:rowOff>577099</xdr:rowOff>
    </xdr:from>
    <xdr:to>
      <xdr:col>13</xdr:col>
      <xdr:colOff>650110</xdr:colOff>
      <xdr:row>3</xdr:row>
      <xdr:rowOff>756457</xdr:rowOff>
    </xdr:to>
    <xdr:sp macro="" textlink="">
      <xdr:nvSpPr>
        <xdr:cNvPr id="45" name="TextBox 26">
          <a:extLst>
            <a:ext uri="{FF2B5EF4-FFF2-40B4-BE49-F238E27FC236}">
              <a16:creationId xmlns:a16="http://schemas.microsoft.com/office/drawing/2014/main" id="{2DB3BBA0-9A1E-4965-B340-FD9DF945439A}"/>
            </a:ext>
          </a:extLst>
        </xdr:cNvPr>
        <xdr:cNvSpPr txBox="1"/>
      </xdr:nvSpPr>
      <xdr:spPr>
        <a:xfrm>
          <a:off x="10460225" y="2672599"/>
          <a:ext cx="391160" cy="179358"/>
        </a:xfrm>
        <a:prstGeom prst="rect">
          <a:avLst/>
        </a:prstGeom>
        <a:noFill/>
        <a:ln>
          <a:noFill/>
        </a:ln>
      </xdr:spPr>
      <xdr:txBody>
        <a:bodyPr wrap="square" lIns="0" tIns="0" rIns="0" bIns="0" rtlCol="0">
          <a:no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C1</a:t>
          </a:r>
        </a:p>
        <a:p>
          <a:pPr algn="ctr">
            <a:lnSpc>
              <a:spcPct val="114000"/>
            </a:lnSpc>
          </a:pPr>
          <a:endParaRPr lang="en-US" sz="600">
            <a:solidFill>
              <a:schemeClr val="bg1"/>
            </a:solidFill>
            <a:latin typeface="+mn-lt"/>
          </a:endParaRPr>
        </a:p>
        <a:p>
          <a:pPr algn="ctr">
            <a:lnSpc>
              <a:spcPct val="114000"/>
            </a:lnSpc>
          </a:pPr>
          <a:r>
            <a:rPr lang="en-US" sz="1000">
              <a:solidFill>
                <a:schemeClr val="tx1"/>
              </a:solidFill>
              <a:latin typeface="+mn-lt"/>
            </a:rPr>
            <a:t>40/day</a:t>
          </a:r>
        </a:p>
      </xdr:txBody>
    </xdr:sp>
    <xdr:clientData/>
  </xdr:twoCellAnchor>
  <xdr:twoCellAnchor>
    <xdr:from>
      <xdr:col>13</xdr:col>
      <xdr:colOff>236538</xdr:colOff>
      <xdr:row>2</xdr:row>
      <xdr:rowOff>740938</xdr:rowOff>
    </xdr:from>
    <xdr:to>
      <xdr:col>14</xdr:col>
      <xdr:colOff>314325</xdr:colOff>
      <xdr:row>3</xdr:row>
      <xdr:rowOff>147254</xdr:rowOff>
    </xdr:to>
    <xdr:sp macro="" textlink="">
      <xdr:nvSpPr>
        <xdr:cNvPr id="46" name="TextBox 27">
          <a:extLst>
            <a:ext uri="{FF2B5EF4-FFF2-40B4-BE49-F238E27FC236}">
              <a16:creationId xmlns:a16="http://schemas.microsoft.com/office/drawing/2014/main" id="{45E6F75C-F1D3-4BC2-A6BC-E73428ECF5D4}"/>
            </a:ext>
          </a:extLst>
        </xdr:cNvPr>
        <xdr:cNvSpPr txBox="1"/>
      </xdr:nvSpPr>
      <xdr:spPr>
        <a:xfrm>
          <a:off x="10675938" y="2074438"/>
          <a:ext cx="906462" cy="168316"/>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C2    </a:t>
          </a:r>
          <a:r>
            <a:rPr lang="en-US" sz="1000">
              <a:solidFill>
                <a:schemeClr val="tx1"/>
              </a:solidFill>
              <a:latin typeface="+mn-lt"/>
            </a:rPr>
            <a:t>50/day</a:t>
          </a:r>
        </a:p>
      </xdr:txBody>
    </xdr:sp>
    <xdr:clientData/>
  </xdr:twoCellAnchor>
  <xdr:twoCellAnchor>
    <xdr:from>
      <xdr:col>11</xdr:col>
      <xdr:colOff>372110</xdr:colOff>
      <xdr:row>2</xdr:row>
      <xdr:rowOff>54264</xdr:rowOff>
    </xdr:from>
    <xdr:to>
      <xdr:col>11</xdr:col>
      <xdr:colOff>763270</xdr:colOff>
      <xdr:row>2</xdr:row>
      <xdr:rowOff>508106</xdr:rowOff>
    </xdr:to>
    <xdr:sp macro="" textlink="">
      <xdr:nvSpPr>
        <xdr:cNvPr id="47" name="TextBox 28">
          <a:extLst>
            <a:ext uri="{FF2B5EF4-FFF2-40B4-BE49-F238E27FC236}">
              <a16:creationId xmlns:a16="http://schemas.microsoft.com/office/drawing/2014/main" id="{963740C6-0285-4686-BB07-CF87E3ED6017}"/>
            </a:ext>
          </a:extLst>
        </xdr:cNvPr>
        <xdr:cNvSpPr txBox="1"/>
      </xdr:nvSpPr>
      <xdr:spPr>
        <a:xfrm>
          <a:off x="8973185" y="1387764"/>
          <a:ext cx="391160" cy="453842"/>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P2</a:t>
          </a:r>
        </a:p>
        <a:p>
          <a:pPr algn="ctr">
            <a:lnSpc>
              <a:spcPct val="114000"/>
            </a:lnSpc>
          </a:pPr>
          <a:endParaRPr lang="en-US" sz="600">
            <a:solidFill>
              <a:schemeClr val="bg1"/>
            </a:solidFill>
            <a:latin typeface="+mn-lt"/>
          </a:endParaRPr>
        </a:p>
        <a:p>
          <a:pPr algn="ctr">
            <a:lnSpc>
              <a:spcPct val="114000"/>
            </a:lnSpc>
          </a:pPr>
          <a:r>
            <a:rPr lang="en-US" sz="1000">
              <a:solidFill>
                <a:schemeClr val="tx1"/>
              </a:solidFill>
              <a:latin typeface="+mn-lt"/>
            </a:rPr>
            <a:t>80/day</a:t>
          </a:r>
        </a:p>
      </xdr:txBody>
    </xdr:sp>
    <xdr:clientData/>
  </xdr:twoCellAnchor>
  <xdr:twoCellAnchor>
    <xdr:from>
      <xdr:col>9</xdr:col>
      <xdr:colOff>152399</xdr:colOff>
      <xdr:row>3</xdr:row>
      <xdr:rowOff>540018</xdr:rowOff>
    </xdr:from>
    <xdr:to>
      <xdr:col>9</xdr:col>
      <xdr:colOff>733424</xdr:colOff>
      <xdr:row>4</xdr:row>
      <xdr:rowOff>231860</xdr:rowOff>
    </xdr:to>
    <xdr:sp macro="" textlink="">
      <xdr:nvSpPr>
        <xdr:cNvPr id="48" name="TextBox 29">
          <a:extLst>
            <a:ext uri="{FF2B5EF4-FFF2-40B4-BE49-F238E27FC236}">
              <a16:creationId xmlns:a16="http://schemas.microsoft.com/office/drawing/2014/main" id="{3B6539EB-2D4E-4B62-9056-005BBC92A79C}"/>
            </a:ext>
          </a:extLst>
        </xdr:cNvPr>
        <xdr:cNvSpPr txBox="1"/>
      </xdr:nvSpPr>
      <xdr:spPr>
        <a:xfrm>
          <a:off x="7038974" y="2635518"/>
          <a:ext cx="581025" cy="453842"/>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000">
              <a:solidFill>
                <a:schemeClr val="bg1"/>
              </a:solidFill>
              <a:latin typeface="+mn-lt"/>
            </a:rPr>
            <a:t>P1</a:t>
          </a:r>
        </a:p>
        <a:p>
          <a:pPr algn="ctr">
            <a:lnSpc>
              <a:spcPct val="114000"/>
            </a:lnSpc>
          </a:pPr>
          <a:endParaRPr lang="en-US" sz="600">
            <a:solidFill>
              <a:schemeClr val="bg1"/>
            </a:solidFill>
            <a:latin typeface="+mn-lt"/>
          </a:endParaRPr>
        </a:p>
        <a:p>
          <a:pPr algn="ctr">
            <a:lnSpc>
              <a:spcPct val="114000"/>
            </a:lnSpc>
          </a:pPr>
          <a:r>
            <a:rPr lang="en-US" sz="1000">
              <a:solidFill>
                <a:schemeClr val="tx1"/>
              </a:solidFill>
              <a:latin typeface="+mn-lt"/>
            </a:rPr>
            <a:t>100/day</a:t>
          </a:r>
        </a:p>
      </xdr:txBody>
    </xdr:sp>
    <xdr:clientData/>
  </xdr:twoCellAnchor>
  <xdr:twoCellAnchor>
    <xdr:from>
      <xdr:col>13</xdr:col>
      <xdr:colOff>392206</xdr:colOff>
      <xdr:row>3</xdr:row>
      <xdr:rowOff>202263</xdr:rowOff>
    </xdr:from>
    <xdr:to>
      <xdr:col>13</xdr:col>
      <xdr:colOff>812163</xdr:colOff>
      <xdr:row>3</xdr:row>
      <xdr:rowOff>471504</xdr:rowOff>
    </xdr:to>
    <xdr:sp macro="" textlink="">
      <xdr:nvSpPr>
        <xdr:cNvPr id="49" name="TextBox 25">
          <a:extLst>
            <a:ext uri="{FF2B5EF4-FFF2-40B4-BE49-F238E27FC236}">
              <a16:creationId xmlns:a16="http://schemas.microsoft.com/office/drawing/2014/main" id="{7D0B7AE7-D13E-4335-9173-8EC3A5DD8F45}"/>
            </a:ext>
          </a:extLst>
        </xdr:cNvPr>
        <xdr:cNvSpPr txBox="1"/>
      </xdr:nvSpPr>
      <xdr:spPr>
        <a:xfrm>
          <a:off x="10593481" y="2297763"/>
          <a:ext cx="419957" cy="269241"/>
        </a:xfrm>
        <a:prstGeom prst="rect">
          <a:avLst/>
        </a:prstGeom>
        <a:noFill/>
        <a:ln>
          <a:noFill/>
        </a:ln>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a:lnSpc>
              <a:spcPct val="114000"/>
            </a:lnSpc>
          </a:pPr>
          <a:r>
            <a:rPr lang="en-US" sz="1600">
              <a:latin typeface="+mn-lt"/>
            </a:rPr>
            <a:t>10</a:t>
          </a:r>
        </a:p>
      </xdr:txBody>
    </xdr:sp>
    <xdr:clientData/>
  </xdr:twoCellAnchor>
  <xdr:oneCellAnchor>
    <xdr:from>
      <xdr:col>1</xdr:col>
      <xdr:colOff>805962</xdr:colOff>
      <xdr:row>26</xdr:row>
      <xdr:rowOff>179294</xdr:rowOff>
    </xdr:from>
    <xdr:ext cx="1674881" cy="390741"/>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95C1072A-95D2-4F06-9FCB-995CAE77CD88}"/>
                </a:ext>
              </a:extLst>
            </xdr:cNvPr>
            <xdr:cNvSpPr txBox="1"/>
          </xdr:nvSpPr>
          <xdr:spPr>
            <a:xfrm>
              <a:off x="1063697" y="7698441"/>
              <a:ext cx="1674881" cy="390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100" b="0" i="0">
                        <a:solidFill>
                          <a:sysClr val="windowText" lastClr="000000"/>
                        </a:solidFill>
                        <a:latin typeface="Cambria Math" panose="02040503050406030204" pitchFamily="18" charset="0"/>
                      </a:rPr>
                      <m:t>Discount</m:t>
                    </m:r>
                    <m:r>
                      <a:rPr lang="en-US" sz="1100" b="0" i="0">
                        <a:solidFill>
                          <a:sysClr val="windowText" lastClr="000000"/>
                        </a:solidFill>
                        <a:latin typeface="Cambria Math" panose="02040503050406030204" pitchFamily="18" charset="0"/>
                      </a:rPr>
                      <m:t> </m:t>
                    </m:r>
                    <m:r>
                      <m:rPr>
                        <m:sty m:val="p"/>
                      </m:rPr>
                      <a:rPr lang="en-US" sz="1100" b="0" i="0">
                        <a:solidFill>
                          <a:sysClr val="windowText" lastClr="000000"/>
                        </a:solidFill>
                        <a:latin typeface="Cambria Math" panose="02040503050406030204" pitchFamily="18" charset="0"/>
                      </a:rPr>
                      <m:t>factor</m:t>
                    </m:r>
                    <m:r>
                      <a:rPr lang="en-US" sz="1100" b="0" i="0">
                        <a:solidFill>
                          <a:srgbClr val="836967"/>
                        </a:solidFill>
                        <a:latin typeface="Cambria Math" panose="02040503050406030204" pitchFamily="18" charset="0"/>
                      </a:rPr>
                      <m:t>= </m:t>
                    </m:r>
                    <m:f>
                      <m:fPr>
                        <m:ctrlPr>
                          <a:rPr lang="en-US" sz="1100" i="1">
                            <a:solidFill>
                              <a:srgbClr val="836967"/>
                            </a:solidFill>
                            <a:latin typeface="Cambria Math" panose="02040503050406030204" pitchFamily="18" charset="0"/>
                          </a:rPr>
                        </m:ctrlPr>
                      </m:fPr>
                      <m:num>
                        <m:r>
                          <a:rPr lang="en-US" sz="1100">
                            <a:latin typeface="Cambria Math" panose="02040503050406030204" pitchFamily="18" charset="0"/>
                          </a:rPr>
                          <m:t>1</m:t>
                        </m:r>
                      </m:num>
                      <m:den>
                        <m:sSup>
                          <m:sSupPr>
                            <m:ctrlPr>
                              <a:rPr lang="en-US" sz="1100" i="1">
                                <a:solidFill>
                                  <a:srgbClr val="836967"/>
                                </a:solidFill>
                                <a:latin typeface="Cambria Math" panose="02040503050406030204" pitchFamily="18" charset="0"/>
                              </a:rPr>
                            </m:ctrlPr>
                          </m:sSupPr>
                          <m:e>
                            <m:d>
                              <m:dPr>
                                <m:ctrlPr>
                                  <a:rPr lang="en-US" sz="1100" i="1">
                                    <a:solidFill>
                                      <a:srgbClr val="836967"/>
                                    </a:solidFill>
                                    <a:latin typeface="Cambria Math" panose="02040503050406030204" pitchFamily="18" charset="0"/>
                                  </a:rPr>
                                </m:ctrlPr>
                              </m:dPr>
                              <m:e>
                                <m:r>
                                  <a:rPr lang="en-US" sz="1100" i="0">
                                    <a:latin typeface="Cambria Math" panose="02040503050406030204" pitchFamily="18" charset="0"/>
                                  </a:rPr>
                                  <m:t>1+</m:t>
                                </m:r>
                                <m:r>
                                  <a:rPr lang="en-US" sz="1100" i="1">
                                    <a:latin typeface="Cambria Math" panose="02040503050406030204" pitchFamily="18" charset="0"/>
                                  </a:rPr>
                                  <m:t>𝑟</m:t>
                                </m:r>
                              </m:e>
                            </m:d>
                          </m:e>
                          <m:sup>
                            <m:r>
                              <a:rPr lang="en-US" sz="1100" i="1">
                                <a:latin typeface="Cambria Math" panose="02040503050406030204" pitchFamily="18" charset="0"/>
                              </a:rPr>
                              <m:t>𝑛</m:t>
                            </m:r>
                          </m:sup>
                        </m:sSup>
                      </m:den>
                    </m:f>
                  </m:oMath>
                </m:oMathPara>
              </a14:m>
              <a:endParaRPr lang="en-US" sz="1100"/>
            </a:p>
          </xdr:txBody>
        </xdr:sp>
      </mc:Choice>
      <mc:Fallback xmlns="">
        <xdr:sp macro="" textlink="">
          <xdr:nvSpPr>
            <xdr:cNvPr id="50" name="TextBox 49">
              <a:extLst>
                <a:ext uri="{FF2B5EF4-FFF2-40B4-BE49-F238E27FC236}">
                  <a16:creationId xmlns:a16="http://schemas.microsoft.com/office/drawing/2014/main" id="{95C1072A-95D2-4F06-9FCB-995CAE77CD88}"/>
                </a:ext>
              </a:extLst>
            </xdr:cNvPr>
            <xdr:cNvSpPr txBox="1"/>
          </xdr:nvSpPr>
          <xdr:spPr>
            <a:xfrm>
              <a:off x="1063697" y="7698441"/>
              <a:ext cx="1674881" cy="390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0" i="0">
                  <a:solidFill>
                    <a:sysClr val="windowText" lastClr="000000"/>
                  </a:solidFill>
                  <a:latin typeface="Cambria Math" panose="02040503050406030204" pitchFamily="18" charset="0"/>
                </a:rPr>
                <a:t>Discount factor</a:t>
              </a:r>
              <a:r>
                <a:rPr lang="en-US" sz="1100" b="0" i="0">
                  <a:solidFill>
                    <a:srgbClr val="836967"/>
                  </a:solidFill>
                  <a:latin typeface="Cambria Math" panose="02040503050406030204" pitchFamily="18" charset="0"/>
                </a:rPr>
                <a:t>= </a:t>
              </a:r>
              <a:r>
                <a:rPr lang="en-US" sz="1100" i="0">
                  <a:latin typeface="Cambria Math" panose="02040503050406030204" pitchFamily="18" charset="0"/>
                </a:rPr>
                <a:t> 1</a:t>
              </a:r>
              <a:r>
                <a:rPr lang="en-US" sz="1100" i="0">
                  <a:solidFill>
                    <a:srgbClr val="836967"/>
                  </a:solidFill>
                  <a:latin typeface="Cambria Math" panose="02040503050406030204" pitchFamily="18" charset="0"/>
                </a:rPr>
                <a:t>/(</a:t>
              </a:r>
              <a:r>
                <a:rPr lang="en-US" sz="1100" i="0">
                  <a:latin typeface="Cambria Math" panose="02040503050406030204" pitchFamily="18" charset="0"/>
                </a:rPr>
                <a:t>1+𝑟)</a:t>
              </a:r>
              <a:r>
                <a:rPr lang="en-US" sz="1100" i="0">
                  <a:solidFill>
                    <a:srgbClr val="836967"/>
                  </a:solidFill>
                  <a:latin typeface="Cambria Math" panose="02040503050406030204" pitchFamily="18" charset="0"/>
                </a:rPr>
                <a:t>^</a:t>
              </a:r>
              <a:r>
                <a:rPr lang="en-US" sz="1100" i="0">
                  <a:latin typeface="Cambria Math" panose="02040503050406030204" pitchFamily="18" charset="0"/>
                </a:rPr>
                <a:t>𝑛 </a:t>
              </a:r>
              <a:endParaRPr lang="en-US" sz="1100"/>
            </a:p>
          </xdr:txBody>
        </xdr:sp>
      </mc:Fallback>
    </mc:AlternateContent>
    <xdr:clientData/>
  </xdr:oneCellAnchor>
  <xdr:oneCellAnchor>
    <xdr:from>
      <xdr:col>10</xdr:col>
      <xdr:colOff>494567</xdr:colOff>
      <xdr:row>57</xdr:row>
      <xdr:rowOff>48083</xdr:rowOff>
    </xdr:from>
    <xdr:ext cx="2631528" cy="633925"/>
    <xdr:pic>
      <xdr:nvPicPr>
        <xdr:cNvPr id="57" name="Picture 56">
          <a:extLst>
            <a:ext uri="{FF2B5EF4-FFF2-40B4-BE49-F238E27FC236}">
              <a16:creationId xmlns:a16="http://schemas.microsoft.com/office/drawing/2014/main" id="{F0D63298-B607-4374-93E5-9145A6D697B6}"/>
            </a:ext>
          </a:extLst>
        </xdr:cNvPr>
        <xdr:cNvPicPr>
          <a:picLocks noChangeAspect="1"/>
        </xdr:cNvPicPr>
      </xdr:nvPicPr>
      <xdr:blipFill>
        <a:blip xmlns:r="http://schemas.openxmlformats.org/officeDocument/2006/relationships" r:embed="rId2"/>
        <a:stretch>
          <a:fillRect/>
        </a:stretch>
      </xdr:blipFill>
      <xdr:spPr>
        <a:xfrm>
          <a:off x="8507473" y="14198661"/>
          <a:ext cx="2631528" cy="633925"/>
        </a:xfrm>
        <a:prstGeom prst="rect">
          <a:avLst/>
        </a:prstGeom>
      </xdr:spPr>
    </xdr:pic>
    <xdr:clientData/>
  </xdr:oneCellAnchor>
  <xdr:twoCellAnchor>
    <xdr:from>
      <xdr:col>3</xdr:col>
      <xdr:colOff>205153</xdr:colOff>
      <xdr:row>61</xdr:row>
      <xdr:rowOff>231531</xdr:rowOff>
    </xdr:from>
    <xdr:to>
      <xdr:col>6</xdr:col>
      <xdr:colOff>322922</xdr:colOff>
      <xdr:row>65</xdr:row>
      <xdr:rowOff>98750</xdr:rowOff>
    </xdr:to>
    <mc:AlternateContent xmlns:mc="http://schemas.openxmlformats.org/markup-compatibility/2006" xmlns:a14="http://schemas.microsoft.com/office/drawing/2010/main">
      <mc:Choice Requires="a14">
        <xdr:sp macro="" textlink="">
          <xdr:nvSpPr>
            <xdr:cNvPr id="58" name="Rectangle 57">
              <a:extLst>
                <a:ext uri="{FF2B5EF4-FFF2-40B4-BE49-F238E27FC236}">
                  <a16:creationId xmlns:a16="http://schemas.microsoft.com/office/drawing/2014/main" id="{0AEAEE72-2D12-421C-B956-B7124CE36224}"/>
                </a:ext>
              </a:extLst>
            </xdr:cNvPr>
            <xdr:cNvSpPr/>
          </xdr:nvSpPr>
          <xdr:spPr>
            <a:xfrm>
              <a:off x="2117480" y="15222416"/>
              <a:ext cx="2696846" cy="680507"/>
            </a:xfrm>
            <a:prstGeom prst="rect">
              <a:avLst/>
            </a:prstGeom>
          </xdr:spPr>
          <xdr:txBody>
            <a:bodyPr wrap="square">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14:m>
                <m:oMathPara xmlns:m="http://schemas.openxmlformats.org/officeDocument/2006/math">
                  <m:oMathParaPr>
                    <m:jc m:val="centerGroup"/>
                  </m:oMathParaPr>
                  <m:oMath xmlns:m="http://schemas.openxmlformats.org/officeDocument/2006/math">
                    <m:m>
                      <m:mPr>
                        <m:mcs>
                          <m:mc>
                            <m:mcPr>
                              <m:count m:val="2"/>
                              <m:mcJc m:val="center"/>
                            </m:mcPr>
                          </m:mc>
                        </m:mcs>
                        <m:ctrlPr>
                          <a:rPr lang="en-US" sz="1400" i="1">
                            <a:latin typeface="Cambria Math" panose="02040503050406030204" pitchFamily="18" charset="0"/>
                          </a:rPr>
                        </m:ctrlPr>
                      </m:mPr>
                      <m:mr>
                        <m:e>
                          <m:nary>
                            <m:naryPr>
                              <m:chr m:val="∑"/>
                              <m:ctrlPr>
                                <a:rPr lang="en-US" sz="1400" i="1">
                                  <a:latin typeface="Cambria Math" panose="02040503050406030204" pitchFamily="18" charset="0"/>
                                </a:rPr>
                              </m:ctrlPr>
                            </m:naryPr>
                            <m:sub>
                              <m:r>
                                <m:rPr>
                                  <m:brk m:alnAt="23"/>
                                </m:rPr>
                                <a:rPr lang="en-US" sz="1400" i="1">
                                  <a:latin typeface="Cambria Math" panose="02040503050406030204" pitchFamily="18" charset="0"/>
                                </a:rPr>
                                <m:t>𝑖</m:t>
                              </m:r>
                              <m:r>
                                <a:rPr lang="en-US" sz="1400" i="1">
                                  <a:latin typeface="Cambria Math" panose="02040503050406030204" pitchFamily="18" charset="0"/>
                                </a:rPr>
                                <m:t>=1</m:t>
                              </m:r>
                            </m:sub>
                            <m:sup>
                              <m:r>
                                <a:rPr lang="en-US" sz="1400" i="1">
                                  <a:latin typeface="Cambria Math" panose="02040503050406030204" pitchFamily="18" charset="0"/>
                                </a:rPr>
                                <m:t>𝑚</m:t>
                              </m:r>
                            </m:sup>
                            <m:e>
                              <m:sSub>
                                <m:sSubPr>
                                  <m:ctrlPr>
                                    <a:rPr lang="en-US" sz="1400" i="1">
                                      <a:latin typeface="Cambria Math" panose="02040503050406030204" pitchFamily="18" charset="0"/>
                                    </a:rPr>
                                  </m:ctrlPr>
                                </m:sSubPr>
                                <m:e>
                                  <m:r>
                                    <a:rPr lang="en-US" sz="1400" i="1">
                                      <a:latin typeface="Cambria Math" panose="02040503050406030204" pitchFamily="18" charset="0"/>
                                    </a:rPr>
                                    <m:t>𝑥</m:t>
                                  </m:r>
                                </m:e>
                                <m:sub>
                                  <m:r>
                                    <a:rPr lang="en-US" sz="1400" i="1">
                                      <a:latin typeface="Cambria Math" panose="02040503050406030204" pitchFamily="18" charset="0"/>
                                    </a:rPr>
                                    <m:t>𝑖𝑗</m:t>
                                  </m:r>
                                </m:sub>
                              </m:sSub>
                              <m:r>
                                <a:rPr lang="en-US" sz="1400" b="0" i="1">
                                  <a:latin typeface="Cambria Math" panose="02040503050406030204" pitchFamily="18" charset="0"/>
                                </a:rPr>
                                <m:t>≥</m:t>
                              </m:r>
                              <m:sSub>
                                <m:sSubPr>
                                  <m:ctrlPr>
                                    <a:rPr lang="en-US" sz="1400" i="1">
                                      <a:latin typeface="Cambria Math" panose="02040503050406030204" pitchFamily="18" charset="0"/>
                                    </a:rPr>
                                  </m:ctrlPr>
                                </m:sSubPr>
                                <m:e>
                                  <m:r>
                                    <a:rPr lang="en-US" sz="1400" i="1">
                                      <a:latin typeface="Cambria Math" panose="02040503050406030204" pitchFamily="18" charset="0"/>
                                    </a:rPr>
                                    <m:t>𝐷</m:t>
                                  </m:r>
                                </m:e>
                                <m:sub>
                                  <m:r>
                                    <a:rPr lang="en-US" sz="1400" i="1">
                                      <a:latin typeface="Cambria Math" panose="02040503050406030204" pitchFamily="18" charset="0"/>
                                    </a:rPr>
                                    <m:t>𝑗</m:t>
                                  </m:r>
                                </m:sub>
                              </m:sSub>
                              <m:r>
                                <a:rPr lang="en-US" sz="1400" i="1">
                                  <a:latin typeface="Cambria Math" panose="02040503050406030204" pitchFamily="18" charset="0"/>
                                </a:rPr>
                                <m:t> </m:t>
                              </m:r>
                            </m:e>
                          </m:nary>
                        </m:e>
                        <m:e>
                          <m:r>
                            <a:rPr lang="en-US" sz="1400" b="0" i="1">
                              <a:latin typeface="Cambria Math" panose="02040503050406030204" pitchFamily="18" charset="0"/>
                            </a:rPr>
                            <m:t>𝑗</m:t>
                          </m:r>
                          <m:r>
                            <a:rPr lang="en-US" sz="1400" b="0" i="1">
                              <a:latin typeface="Cambria Math" panose="02040503050406030204" pitchFamily="18" charset="0"/>
                            </a:rPr>
                            <m:t>=1,…,</m:t>
                          </m:r>
                          <m:r>
                            <a:rPr lang="en-US" sz="1400" b="0" i="1">
                              <a:latin typeface="Cambria Math" panose="02040503050406030204" pitchFamily="18" charset="0"/>
                            </a:rPr>
                            <m:t>𝑛</m:t>
                          </m:r>
                        </m:e>
                      </m:mr>
                    </m:m>
                  </m:oMath>
                </m:oMathPara>
              </a14:m>
              <a:endParaRPr lang="en-US" sz="1400"/>
            </a:p>
          </xdr:txBody>
        </xdr:sp>
      </mc:Choice>
      <mc:Fallback xmlns="">
        <xdr:sp macro="" textlink="">
          <xdr:nvSpPr>
            <xdr:cNvPr id="58" name="Rectangle 57">
              <a:extLst>
                <a:ext uri="{FF2B5EF4-FFF2-40B4-BE49-F238E27FC236}">
                  <a16:creationId xmlns:a16="http://schemas.microsoft.com/office/drawing/2014/main" id="{0AEAEE72-2D12-421C-B956-B7124CE36224}"/>
                </a:ext>
              </a:extLst>
            </xdr:cNvPr>
            <xdr:cNvSpPr/>
          </xdr:nvSpPr>
          <xdr:spPr>
            <a:xfrm>
              <a:off x="2117480" y="15222416"/>
              <a:ext cx="2696846" cy="680507"/>
            </a:xfrm>
            <a:prstGeom prst="rect">
              <a:avLst/>
            </a:prstGeom>
          </xdr:spPr>
          <xdr:txBody>
            <a:bodyPr wrap="square">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r>
                <a:rPr lang="en-US" sz="1400" i="0">
                  <a:latin typeface="Cambria Math" panose="02040503050406030204" pitchFamily="18" charset="0"/>
                </a:rPr>
                <a:t>■8(∑_(𝑖=1)^𝑚▒〖𝑥_𝑖𝑗</a:t>
              </a:r>
              <a:r>
                <a:rPr lang="en-US" sz="1400" b="0" i="0">
                  <a:latin typeface="Cambria Math" panose="02040503050406030204" pitchFamily="18" charset="0"/>
                </a:rPr>
                <a:t>≥</a:t>
              </a:r>
              <a:r>
                <a:rPr lang="en-US" sz="1400" i="0">
                  <a:latin typeface="Cambria Math" panose="02040503050406030204" pitchFamily="18" charset="0"/>
                </a:rPr>
                <a:t>𝐷_𝑗  〗&amp;</a:t>
              </a:r>
              <a:r>
                <a:rPr lang="en-US" sz="1400" b="0" i="0">
                  <a:latin typeface="Cambria Math" panose="02040503050406030204" pitchFamily="18" charset="0"/>
                </a:rPr>
                <a:t>𝑗=1,…,𝑛)</a:t>
              </a:r>
              <a:endParaRPr lang="en-US" sz="1400"/>
            </a:p>
          </xdr:txBody>
        </xdr:sp>
      </mc:Fallback>
    </mc:AlternateContent>
    <xdr:clientData/>
  </xdr:twoCellAnchor>
  <xdr:twoCellAnchor>
    <xdr:from>
      <xdr:col>3</xdr:col>
      <xdr:colOff>146538</xdr:colOff>
      <xdr:row>65</xdr:row>
      <xdr:rowOff>139213</xdr:rowOff>
    </xdr:from>
    <xdr:to>
      <xdr:col>6</xdr:col>
      <xdr:colOff>456271</xdr:colOff>
      <xdr:row>69</xdr:row>
      <xdr:rowOff>14655</xdr:rowOff>
    </xdr:to>
    <mc:AlternateContent xmlns:mc="http://schemas.openxmlformats.org/markup-compatibility/2006" xmlns:a14="http://schemas.microsoft.com/office/drawing/2010/main">
      <mc:Choice Requires="a14">
        <xdr:sp macro="" textlink="">
          <xdr:nvSpPr>
            <xdr:cNvPr id="59" name="Rectangle 58">
              <a:extLst>
                <a:ext uri="{FF2B5EF4-FFF2-40B4-BE49-F238E27FC236}">
                  <a16:creationId xmlns:a16="http://schemas.microsoft.com/office/drawing/2014/main" id="{2D86CBA1-4C16-4E2E-B7A6-F7BA7E56A997}"/>
                </a:ext>
              </a:extLst>
            </xdr:cNvPr>
            <xdr:cNvSpPr/>
          </xdr:nvSpPr>
          <xdr:spPr>
            <a:xfrm>
              <a:off x="2058865" y="15943386"/>
              <a:ext cx="2888810" cy="637442"/>
            </a:xfrm>
            <a:prstGeom prst="rect">
              <a:avLst/>
            </a:prstGeom>
          </xdr:spPr>
          <xdr:txBody>
            <a:bodyPr wrap="square">
              <a:no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14:m>
                <m:oMathPara xmlns:m="http://schemas.openxmlformats.org/officeDocument/2006/math">
                  <m:oMathParaPr>
                    <m:jc m:val="centerGroup"/>
                  </m:oMathParaPr>
                  <m:oMath xmlns:m="http://schemas.openxmlformats.org/officeDocument/2006/math">
                    <m:m>
                      <m:mPr>
                        <m:mcs>
                          <m:mc>
                            <m:mcPr>
                              <m:count m:val="2"/>
                              <m:mcJc m:val="center"/>
                            </m:mcPr>
                          </m:mc>
                        </m:mcs>
                        <m:ctrlPr>
                          <a:rPr lang="en-US" sz="1400" i="1">
                            <a:latin typeface="Cambria Math" panose="02040503050406030204" pitchFamily="18" charset="0"/>
                          </a:rPr>
                        </m:ctrlPr>
                      </m:mPr>
                      <m:mr>
                        <m:e>
                          <m:nary>
                            <m:naryPr>
                              <m:chr m:val="∑"/>
                              <m:ctrlPr>
                                <a:rPr lang="en-US" sz="1400" i="1">
                                  <a:latin typeface="Cambria Math" panose="02040503050406030204" pitchFamily="18" charset="0"/>
                                </a:rPr>
                              </m:ctrlPr>
                            </m:naryPr>
                            <m:sub>
                              <m:r>
                                <a:rPr lang="en-US" sz="1400" b="0" i="1">
                                  <a:latin typeface="Cambria Math" panose="02040503050406030204" pitchFamily="18" charset="0"/>
                                </a:rPr>
                                <m:t>𝑗</m:t>
                              </m:r>
                              <m:r>
                                <a:rPr lang="en-US" sz="1400" i="1">
                                  <a:latin typeface="Cambria Math" panose="02040503050406030204" pitchFamily="18" charset="0"/>
                                </a:rPr>
                                <m:t>=1</m:t>
                              </m:r>
                            </m:sub>
                            <m:sup>
                              <m:r>
                                <a:rPr lang="en-US" sz="1400" b="0" i="1">
                                  <a:latin typeface="Cambria Math" panose="02040503050406030204" pitchFamily="18" charset="0"/>
                                </a:rPr>
                                <m:t>𝑛</m:t>
                              </m:r>
                            </m:sup>
                            <m:e>
                              <m:sSub>
                                <m:sSubPr>
                                  <m:ctrlPr>
                                    <a:rPr lang="en-US" sz="1400" i="1">
                                      <a:latin typeface="Cambria Math" panose="02040503050406030204" pitchFamily="18" charset="0"/>
                                    </a:rPr>
                                  </m:ctrlPr>
                                </m:sSubPr>
                                <m:e>
                                  <m:r>
                                    <a:rPr lang="en-US" sz="1400" i="1">
                                      <a:latin typeface="Cambria Math" panose="02040503050406030204" pitchFamily="18" charset="0"/>
                                    </a:rPr>
                                    <m:t>𝑥</m:t>
                                  </m:r>
                                </m:e>
                                <m:sub>
                                  <m:r>
                                    <a:rPr lang="en-US" sz="1400" i="1">
                                      <a:latin typeface="Cambria Math" panose="02040503050406030204" pitchFamily="18" charset="0"/>
                                    </a:rPr>
                                    <m:t>𝑖𝑗</m:t>
                                  </m:r>
                                </m:sub>
                              </m:sSub>
                              <m:r>
                                <a:rPr lang="en-US" sz="1400" b="0" i="1">
                                  <a:latin typeface="Cambria Math" panose="02040503050406030204" pitchFamily="18" charset="0"/>
                                </a:rPr>
                                <m:t>≤</m:t>
                              </m:r>
                              <m:sSub>
                                <m:sSubPr>
                                  <m:ctrlPr>
                                    <a:rPr lang="en-US" sz="1400" b="0" i="1">
                                      <a:latin typeface="Cambria Math" panose="02040503050406030204" pitchFamily="18" charset="0"/>
                                    </a:rPr>
                                  </m:ctrlPr>
                                </m:sSubPr>
                                <m:e>
                                  <m:r>
                                    <a:rPr lang="en-US" sz="1400" b="0" i="1">
                                      <a:latin typeface="Cambria Math" panose="02040503050406030204" pitchFamily="18" charset="0"/>
                                    </a:rPr>
                                    <m:t>𝐾</m:t>
                                  </m:r>
                                </m:e>
                                <m:sub>
                                  <m:r>
                                    <a:rPr lang="en-US" sz="1400" b="0" i="1">
                                      <a:latin typeface="Cambria Math" panose="02040503050406030204" pitchFamily="18" charset="0"/>
                                    </a:rPr>
                                    <m:t>𝑖</m:t>
                                  </m:r>
                                </m:sub>
                              </m:sSub>
                              <m:r>
                                <a:rPr lang="en-US" sz="1400" i="1">
                                  <a:latin typeface="Cambria Math" panose="02040503050406030204" pitchFamily="18" charset="0"/>
                                </a:rPr>
                                <m:t> </m:t>
                              </m:r>
                            </m:e>
                          </m:nary>
                        </m:e>
                        <m:e>
                          <m:r>
                            <a:rPr lang="en-US" sz="1400" b="0" i="1">
                              <a:latin typeface="Cambria Math" panose="02040503050406030204" pitchFamily="18" charset="0"/>
                            </a:rPr>
                            <m:t>𝑖</m:t>
                          </m:r>
                          <m:r>
                            <a:rPr lang="en-US" sz="1400" b="0" i="1">
                              <a:latin typeface="Cambria Math" panose="02040503050406030204" pitchFamily="18" charset="0"/>
                            </a:rPr>
                            <m:t>=1,…,</m:t>
                          </m:r>
                          <m:r>
                            <a:rPr lang="en-US" sz="1400" b="0" i="1">
                              <a:latin typeface="Cambria Math" panose="02040503050406030204" pitchFamily="18" charset="0"/>
                            </a:rPr>
                            <m:t>𝑚</m:t>
                          </m:r>
                        </m:e>
                      </m:mr>
                    </m:m>
                  </m:oMath>
                </m:oMathPara>
              </a14:m>
              <a:endParaRPr lang="en-US" sz="1400"/>
            </a:p>
          </xdr:txBody>
        </xdr:sp>
      </mc:Choice>
      <mc:Fallback xmlns="">
        <xdr:sp macro="" textlink="">
          <xdr:nvSpPr>
            <xdr:cNvPr id="59" name="Rectangle 58">
              <a:extLst>
                <a:ext uri="{FF2B5EF4-FFF2-40B4-BE49-F238E27FC236}">
                  <a16:creationId xmlns:a16="http://schemas.microsoft.com/office/drawing/2014/main" id="{2D86CBA1-4C16-4E2E-B7A6-F7BA7E56A997}"/>
                </a:ext>
              </a:extLst>
            </xdr:cNvPr>
            <xdr:cNvSpPr/>
          </xdr:nvSpPr>
          <xdr:spPr>
            <a:xfrm>
              <a:off x="2058865" y="15943386"/>
              <a:ext cx="2888810" cy="637442"/>
            </a:xfrm>
            <a:prstGeom prst="rect">
              <a:avLst/>
            </a:prstGeom>
          </xdr:spPr>
          <xdr:txBody>
            <a:bodyPr wrap="square">
              <a:no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r>
                <a:rPr lang="en-US" sz="1400" i="0">
                  <a:latin typeface="Cambria Math" panose="02040503050406030204" pitchFamily="18" charset="0"/>
                </a:rPr>
                <a:t>■8(∑_(</a:t>
              </a:r>
              <a:r>
                <a:rPr lang="en-US" sz="1400" b="0" i="0">
                  <a:latin typeface="Cambria Math" panose="02040503050406030204" pitchFamily="18" charset="0"/>
                </a:rPr>
                <a:t>𝑗</a:t>
              </a:r>
              <a:r>
                <a:rPr lang="en-US" sz="1400" i="0">
                  <a:latin typeface="Cambria Math" panose="02040503050406030204" pitchFamily="18" charset="0"/>
                </a:rPr>
                <a:t>=1)</a:t>
              </a:r>
              <a:r>
                <a:rPr lang="en-US" sz="1400" b="0" i="0">
                  <a:latin typeface="Cambria Math" panose="02040503050406030204" pitchFamily="18" charset="0"/>
                </a:rPr>
                <a:t>^𝑛▒〖</a:t>
              </a:r>
              <a:r>
                <a:rPr lang="en-US" sz="1400" i="0">
                  <a:latin typeface="Cambria Math" panose="02040503050406030204" pitchFamily="18" charset="0"/>
                </a:rPr>
                <a:t>𝑥_𝑖𝑗</a:t>
              </a:r>
              <a:r>
                <a:rPr lang="en-US" sz="1400" b="0" i="0">
                  <a:latin typeface="Cambria Math" panose="02040503050406030204" pitchFamily="18" charset="0"/>
                </a:rPr>
                <a:t>≤𝐾_𝑖 </a:t>
              </a:r>
              <a:r>
                <a:rPr lang="en-US" sz="1400" i="0">
                  <a:latin typeface="Cambria Math" panose="02040503050406030204" pitchFamily="18" charset="0"/>
                </a:rPr>
                <a:t> </a:t>
              </a:r>
              <a:r>
                <a:rPr lang="en-US" sz="1400" b="0" i="0">
                  <a:latin typeface="Cambria Math" panose="02040503050406030204" pitchFamily="18" charset="0"/>
                </a:rPr>
                <a:t>〗&amp;𝑖=1,…,𝑚)</a:t>
              </a:r>
              <a:endParaRPr lang="en-US" sz="14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495300</xdr:colOff>
      <xdr:row>1</xdr:row>
      <xdr:rowOff>9525</xdr:rowOff>
    </xdr:to>
    <xdr:pic>
      <xdr:nvPicPr>
        <xdr:cNvPr id="25" name="Picture 24">
          <a:extLst>
            <a:ext uri="{FF2B5EF4-FFF2-40B4-BE49-F238E27FC236}">
              <a16:creationId xmlns:a16="http://schemas.microsoft.com/office/drawing/2014/main" id="{41DB60D2-FD2F-4590-B69D-A0782DE758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952500</xdr:colOff>
      <xdr:row>5</xdr:row>
      <xdr:rowOff>95250</xdr:rowOff>
    </xdr:from>
    <xdr:to>
      <xdr:col>1</xdr:col>
      <xdr:colOff>5524500</xdr:colOff>
      <xdr:row>6</xdr:row>
      <xdr:rowOff>66675</xdr:rowOff>
    </xdr:to>
    <xdr:graphicFrame macro="">
      <xdr:nvGraphicFramePr>
        <xdr:cNvPr id="11" name="Chart 10">
          <a:extLst>
            <a:ext uri="{FF2B5EF4-FFF2-40B4-BE49-F238E27FC236}">
              <a16:creationId xmlns:a16="http://schemas.microsoft.com/office/drawing/2014/main" id="{015A911C-A890-4E5E-984E-99AB8CAD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952500</xdr:colOff>
      <xdr:row>5</xdr:row>
      <xdr:rowOff>0</xdr:rowOff>
    </xdr:from>
    <xdr:to>
      <xdr:col>1</xdr:col>
      <xdr:colOff>5524500</xdr:colOff>
      <xdr:row>5</xdr:row>
      <xdr:rowOff>66675</xdr:rowOff>
    </xdr:to>
    <xdr:graphicFrame macro="">
      <xdr:nvGraphicFramePr>
        <xdr:cNvPr id="4" name="Chart 3">
          <a:extLst>
            <a:ext uri="{FF2B5EF4-FFF2-40B4-BE49-F238E27FC236}">
              <a16:creationId xmlns:a16="http://schemas.microsoft.com/office/drawing/2014/main" id="{EBFF6F02-64AF-4A18-9114-9EFB2BA6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223345</xdr:colOff>
      <xdr:row>1</xdr:row>
      <xdr:rowOff>229785</xdr:rowOff>
    </xdr:from>
    <xdr:to>
      <xdr:col>6</xdr:col>
      <xdr:colOff>170457</xdr:colOff>
      <xdr:row>4</xdr:row>
      <xdr:rowOff>203638</xdr:rowOff>
    </xdr:to>
    <xdr:pic>
      <xdr:nvPicPr>
        <xdr:cNvPr id="5" name="Picture 4">
          <a:extLst>
            <a:ext uri="{FF2B5EF4-FFF2-40B4-BE49-F238E27FC236}">
              <a16:creationId xmlns:a16="http://schemas.microsoft.com/office/drawing/2014/main" id="{8652AE23-37C4-4955-B311-16342DAFB974}"/>
            </a:ext>
          </a:extLst>
        </xdr:cNvPr>
        <xdr:cNvPicPr>
          <a:picLocks noChangeAspect="1"/>
        </xdr:cNvPicPr>
      </xdr:nvPicPr>
      <xdr:blipFill rotWithShape="1">
        <a:blip xmlns:r="http://schemas.openxmlformats.org/officeDocument/2006/relationships" r:embed="rId4">
          <a:extLst>
            <a:ext uri="{BEBA8EAE-BF5A-486C-A8C5-ECC9F3942E4B}">
              <a14:imgProps xmlns:a14="http://schemas.microsoft.com/office/drawing/2010/main">
                <a14:imgLayer r:embed="rId5">
                  <a14:imgEffect>
                    <a14:sharpenSoften amount="50000"/>
                  </a14:imgEffect>
                </a14:imgLayer>
              </a14:imgProps>
            </a:ext>
          </a:extLst>
        </a:blip>
        <a:srcRect t="18914" r="31260" b="23105"/>
        <a:stretch/>
      </xdr:blipFill>
      <xdr:spPr>
        <a:xfrm>
          <a:off x="1307224" y="801285"/>
          <a:ext cx="3257871" cy="2259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495300</xdr:colOff>
      <xdr:row>1</xdr:row>
      <xdr:rowOff>9525</xdr:rowOff>
    </xdr:to>
    <xdr:pic>
      <xdr:nvPicPr>
        <xdr:cNvPr id="2" name="Picture 1">
          <a:extLst>
            <a:ext uri="{FF2B5EF4-FFF2-40B4-BE49-F238E27FC236}">
              <a16:creationId xmlns:a16="http://schemas.microsoft.com/office/drawing/2014/main" id="{D17CB7CD-D471-4C91-A393-FFC91BE6B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952500</xdr:colOff>
      <xdr:row>5</xdr:row>
      <xdr:rowOff>95250</xdr:rowOff>
    </xdr:from>
    <xdr:to>
      <xdr:col>1</xdr:col>
      <xdr:colOff>5524500</xdr:colOff>
      <xdr:row>6</xdr:row>
      <xdr:rowOff>66675</xdr:rowOff>
    </xdr:to>
    <xdr:graphicFrame macro="">
      <xdr:nvGraphicFramePr>
        <xdr:cNvPr id="3" name="Chart 2">
          <a:extLst>
            <a:ext uri="{FF2B5EF4-FFF2-40B4-BE49-F238E27FC236}">
              <a16:creationId xmlns:a16="http://schemas.microsoft.com/office/drawing/2014/main" id="{72345BBF-875B-4786-AD76-7C6467E5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952500</xdr:colOff>
      <xdr:row>5</xdr:row>
      <xdr:rowOff>0</xdr:rowOff>
    </xdr:from>
    <xdr:to>
      <xdr:col>1</xdr:col>
      <xdr:colOff>5524500</xdr:colOff>
      <xdr:row>5</xdr:row>
      <xdr:rowOff>66675</xdr:rowOff>
    </xdr:to>
    <xdr:graphicFrame macro="">
      <xdr:nvGraphicFramePr>
        <xdr:cNvPr id="4" name="Chart 3">
          <a:extLst>
            <a:ext uri="{FF2B5EF4-FFF2-40B4-BE49-F238E27FC236}">
              <a16:creationId xmlns:a16="http://schemas.microsoft.com/office/drawing/2014/main" id="{13C7F06D-CF24-4CCB-95AA-F57EFCEC9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385270</xdr:colOff>
      <xdr:row>1</xdr:row>
      <xdr:rowOff>439335</xdr:rowOff>
    </xdr:from>
    <xdr:to>
      <xdr:col>6</xdr:col>
      <xdr:colOff>332382</xdr:colOff>
      <xdr:row>4</xdr:row>
      <xdr:rowOff>413188</xdr:rowOff>
    </xdr:to>
    <xdr:pic>
      <xdr:nvPicPr>
        <xdr:cNvPr id="5" name="Picture 4">
          <a:extLst>
            <a:ext uri="{FF2B5EF4-FFF2-40B4-BE49-F238E27FC236}">
              <a16:creationId xmlns:a16="http://schemas.microsoft.com/office/drawing/2014/main" id="{DF3E375B-2208-435C-83F2-B1E5719AD4CE}"/>
            </a:ext>
          </a:extLst>
        </xdr:cNvPr>
        <xdr:cNvPicPr>
          <a:picLocks noChangeAspect="1"/>
        </xdr:cNvPicPr>
      </xdr:nvPicPr>
      <xdr:blipFill rotWithShape="1">
        <a:blip xmlns:r="http://schemas.openxmlformats.org/officeDocument/2006/relationships" r:embed="rId4">
          <a:extLst>
            <a:ext uri="{BEBA8EAE-BF5A-486C-A8C5-ECC9F3942E4B}">
              <a14:imgProps xmlns:a14="http://schemas.microsoft.com/office/drawing/2010/main">
                <a14:imgLayer r:embed="rId5">
                  <a14:imgEffect>
                    <a14:sharpenSoften amount="50000"/>
                  </a14:imgEffect>
                </a14:imgLayer>
              </a14:imgProps>
            </a:ext>
          </a:extLst>
        </a:blip>
        <a:srcRect t="18914" r="31260" b="23105"/>
        <a:stretch/>
      </xdr:blipFill>
      <xdr:spPr>
        <a:xfrm>
          <a:off x="1471120" y="1010835"/>
          <a:ext cx="3261812" cy="2259853"/>
        </a:xfrm>
        <a:prstGeom prst="rect">
          <a:avLst/>
        </a:prstGeom>
      </xdr:spPr>
    </xdr:pic>
    <xdr:clientData/>
  </xdr:twoCellAnchor>
  <xdr:twoCellAnchor editAs="oneCell">
    <xdr:from>
      <xdr:col>11</xdr:col>
      <xdr:colOff>50345</xdr:colOff>
      <xdr:row>15</xdr:row>
      <xdr:rowOff>44904</xdr:rowOff>
    </xdr:from>
    <xdr:to>
      <xdr:col>17</xdr:col>
      <xdr:colOff>69395</xdr:colOff>
      <xdr:row>33</xdr:row>
      <xdr:rowOff>53136</xdr:rowOff>
    </xdr:to>
    <xdr:pic>
      <xdr:nvPicPr>
        <xdr:cNvPr id="7" name="Picture 6">
          <a:extLst>
            <a:ext uri="{FF2B5EF4-FFF2-40B4-BE49-F238E27FC236}">
              <a16:creationId xmlns:a16="http://schemas.microsoft.com/office/drawing/2014/main" id="{9D41E6F4-81A7-4771-821C-BE33CE978DED}"/>
            </a:ext>
          </a:extLst>
        </xdr:cNvPr>
        <xdr:cNvPicPr>
          <a:picLocks noChangeAspect="1"/>
        </xdr:cNvPicPr>
      </xdr:nvPicPr>
      <xdr:blipFill>
        <a:blip xmlns:r="http://schemas.openxmlformats.org/officeDocument/2006/relationships" r:embed="rId6"/>
        <a:stretch>
          <a:fillRect/>
        </a:stretch>
      </xdr:blipFill>
      <xdr:spPr>
        <a:xfrm>
          <a:off x="8594270" y="5902779"/>
          <a:ext cx="4991100" cy="36631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showGridLines="0" tabSelected="1" zoomScaleNormal="100" workbookViewId="0">
      <selection activeCell="O18" sqref="O18"/>
    </sheetView>
  </sheetViews>
  <sheetFormatPr defaultColWidth="12.42578125" defaultRowHeight="15" x14ac:dyDescent="0.25"/>
  <cols>
    <col min="1" max="1" width="3.85546875" style="2" customWidth="1"/>
    <col min="2" max="7" width="12.42578125" style="2" customWidth="1"/>
    <col min="8" max="16384" width="12.42578125" style="2"/>
  </cols>
  <sheetData>
    <row r="1" spans="1:15" ht="45" customHeight="1" x14ac:dyDescent="0.25"/>
    <row r="2" spans="1:15" ht="60" customHeight="1" x14ac:dyDescent="0.25">
      <c r="A2" s="4" t="s">
        <v>13</v>
      </c>
      <c r="B2" s="121" t="s">
        <v>54</v>
      </c>
      <c r="C2" s="122"/>
      <c r="D2" s="122"/>
      <c r="E2" s="122"/>
      <c r="F2" s="122"/>
      <c r="G2" s="122"/>
      <c r="H2" s="122"/>
      <c r="I2" s="122"/>
    </row>
    <row r="3" spans="1:15" ht="60" customHeight="1" x14ac:dyDescent="0.25">
      <c r="A3" s="4"/>
      <c r="B3" s="121"/>
      <c r="C3" s="122"/>
      <c r="D3" s="122"/>
      <c r="E3" s="122"/>
      <c r="F3" s="122"/>
      <c r="G3" s="122"/>
      <c r="H3" s="122"/>
      <c r="I3" s="122"/>
    </row>
    <row r="4" spans="1:15" ht="60" customHeight="1" x14ac:dyDescent="0.25">
      <c r="A4" s="4"/>
      <c r="B4" s="121"/>
      <c r="C4" s="122"/>
      <c r="D4" s="122"/>
      <c r="E4" s="122"/>
      <c r="F4" s="122"/>
      <c r="G4" s="122"/>
      <c r="H4" s="122"/>
      <c r="I4" s="122"/>
    </row>
    <row r="5" spans="1:15" ht="20.100000000000001" customHeight="1" x14ac:dyDescent="0.25">
      <c r="A5" s="4"/>
      <c r="B5" s="121"/>
      <c r="C5" s="122"/>
      <c r="D5" s="122"/>
      <c r="E5" s="122"/>
      <c r="F5" s="122"/>
      <c r="G5" s="122"/>
      <c r="H5" s="122"/>
      <c r="I5" s="122"/>
    </row>
    <row r="6" spans="1:15" ht="18" customHeight="1" thickBot="1" x14ac:dyDescent="0.3">
      <c r="B6" s="8"/>
      <c r="C6" s="8"/>
      <c r="D6" s="8"/>
      <c r="E6" s="8"/>
      <c r="F6" s="8"/>
      <c r="G6" s="8"/>
      <c r="H6" s="8"/>
      <c r="I6" s="8"/>
      <c r="J6" s="8"/>
      <c r="K6" s="8"/>
      <c r="L6" s="8"/>
      <c r="M6" s="8"/>
      <c r="N6" s="8"/>
      <c r="O6" s="8"/>
    </row>
    <row r="7" spans="1:15" ht="18" customHeight="1" x14ac:dyDescent="0.3">
      <c r="B7" s="10" t="s">
        <v>37</v>
      </c>
      <c r="C7" s="13"/>
      <c r="D7" s="13"/>
      <c r="E7" s="13"/>
      <c r="F7" s="13"/>
      <c r="G7" s="13"/>
      <c r="H7" s="13"/>
      <c r="I7" s="13"/>
      <c r="J7" s="13"/>
      <c r="K7" s="13"/>
      <c r="L7" s="13"/>
      <c r="M7" s="13"/>
      <c r="N7" s="13"/>
      <c r="O7" s="13"/>
    </row>
    <row r="8" spans="1:15" ht="17.25" x14ac:dyDescent="0.3">
      <c r="B8" s="10"/>
      <c r="C8" s="5"/>
      <c r="D8" s="5"/>
      <c r="E8" s="16"/>
      <c r="F8" s="24"/>
      <c r="H8" s="5"/>
      <c r="I8" s="16"/>
      <c r="J8" s="24"/>
    </row>
    <row r="10" spans="1:15" x14ac:dyDescent="0.25">
      <c r="A10"/>
      <c r="B10" s="1"/>
    </row>
    <row r="11" spans="1:15" x14ac:dyDescent="0.25">
      <c r="A11"/>
      <c r="B11"/>
    </row>
    <row r="12" spans="1:15" x14ac:dyDescent="0.25">
      <c r="A12"/>
      <c r="B12"/>
    </row>
  </sheetData>
  <mergeCells count="1">
    <mergeCell ref="B2:I5"/>
  </mergeCells>
  <phoneticPr fontId="1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
  <sheetViews>
    <sheetView showGridLines="0" topLeftCell="A34" zoomScale="85" zoomScaleNormal="85" workbookViewId="0">
      <selection activeCell="T60" sqref="T60"/>
    </sheetView>
  </sheetViews>
  <sheetFormatPr defaultColWidth="12.42578125" defaultRowHeight="15" x14ac:dyDescent="0.25"/>
  <cols>
    <col min="1" max="1" width="3.85546875" style="2" customWidth="1"/>
    <col min="2" max="2" width="12.42578125" style="2" customWidth="1"/>
    <col min="3" max="3" width="12.42578125" style="2"/>
    <col min="4" max="5" width="12.42578125" style="2" customWidth="1"/>
    <col min="6" max="6" width="14.7109375" style="2" bestFit="1" customWidth="1"/>
    <col min="7" max="7" width="13.5703125" style="2" customWidth="1"/>
    <col min="8" max="9" width="12.42578125" style="2"/>
    <col min="10" max="10" width="14.7109375" style="2" bestFit="1" customWidth="1"/>
    <col min="11" max="11" width="13.28515625" style="2" customWidth="1"/>
    <col min="12" max="12" width="15.140625" style="2" customWidth="1"/>
    <col min="13" max="16384" width="12.42578125" style="2"/>
  </cols>
  <sheetData>
    <row r="1" spans="1:21" ht="45" customHeight="1" x14ac:dyDescent="0.25"/>
    <row r="2" spans="1:21" ht="60" customHeight="1" x14ac:dyDescent="0.25">
      <c r="A2" s="4" t="s">
        <v>14</v>
      </c>
      <c r="B2" s="121" t="s">
        <v>15</v>
      </c>
      <c r="C2" s="122"/>
      <c r="D2" s="122"/>
      <c r="E2" s="122"/>
      <c r="F2" s="122"/>
      <c r="G2" s="122"/>
      <c r="H2" s="122"/>
      <c r="I2" s="122"/>
    </row>
    <row r="3" spans="1:21" ht="60" customHeight="1" x14ac:dyDescent="0.25">
      <c r="A3" s="4"/>
      <c r="B3" s="121"/>
      <c r="C3" s="122"/>
      <c r="D3" s="122"/>
      <c r="E3" s="122"/>
      <c r="F3" s="122"/>
      <c r="G3" s="122"/>
      <c r="H3" s="122"/>
      <c r="I3" s="122"/>
    </row>
    <row r="4" spans="1:21" ht="60" customHeight="1" x14ac:dyDescent="0.25">
      <c r="A4" s="4"/>
      <c r="B4" s="121"/>
      <c r="C4" s="122"/>
      <c r="D4" s="122"/>
      <c r="E4" s="122"/>
      <c r="F4" s="122"/>
      <c r="G4" s="122"/>
      <c r="H4" s="122"/>
      <c r="I4" s="122"/>
    </row>
    <row r="5" spans="1:21" ht="20.100000000000001" customHeight="1" x14ac:dyDescent="0.25">
      <c r="A5" s="4"/>
      <c r="B5" s="121"/>
      <c r="C5" s="122"/>
      <c r="D5" s="122"/>
      <c r="E5" s="122"/>
      <c r="F5" s="122"/>
      <c r="G5" s="122"/>
      <c r="H5" s="122"/>
      <c r="I5" s="122"/>
    </row>
    <row r="6" spans="1:21" ht="15.75" thickBot="1" x14ac:dyDescent="0.3"/>
    <row r="7" spans="1:21" ht="17.25" x14ac:dyDescent="0.3">
      <c r="B7" s="11" t="s">
        <v>38</v>
      </c>
      <c r="C7" s="11"/>
      <c r="D7" s="20"/>
      <c r="E7" s="20"/>
      <c r="F7" s="17"/>
      <c r="G7" s="31"/>
      <c r="H7" s="9"/>
      <c r="I7" s="9"/>
      <c r="J7" s="9"/>
      <c r="K7" s="9"/>
      <c r="L7" s="9"/>
      <c r="M7" s="9"/>
      <c r="N7" s="9"/>
      <c r="O7" s="9"/>
    </row>
    <row r="8" spans="1:21" ht="17.25" x14ac:dyDescent="0.3">
      <c r="B8" s="21"/>
      <c r="C8" s="21"/>
      <c r="D8" s="25"/>
      <c r="E8" s="25"/>
      <c r="F8" s="26"/>
      <c r="G8" s="34"/>
      <c r="H8" s="13"/>
      <c r="I8" s="13"/>
      <c r="J8" s="13"/>
      <c r="K8" s="13"/>
      <c r="L8" s="13"/>
      <c r="M8" s="13"/>
      <c r="N8" s="13"/>
      <c r="O8" s="13"/>
    </row>
    <row r="9" spans="1:21" ht="16.5" x14ac:dyDescent="0.3">
      <c r="D9" s="5" t="s">
        <v>16</v>
      </c>
      <c r="F9" s="10">
        <v>365</v>
      </c>
      <c r="G9"/>
      <c r="H9"/>
      <c r="I9"/>
      <c r="J9"/>
      <c r="K9"/>
      <c r="L9"/>
      <c r="M9"/>
      <c r="N9"/>
      <c r="O9"/>
      <c r="P9"/>
      <c r="Q9"/>
      <c r="R9"/>
      <c r="S9"/>
      <c r="T9"/>
      <c r="U9"/>
    </row>
    <row r="10" spans="1:21" ht="16.5" x14ac:dyDescent="0.3">
      <c r="D10" s="5" t="s">
        <v>17</v>
      </c>
      <c r="F10" s="10">
        <v>10</v>
      </c>
      <c r="G10"/>
    </row>
    <row r="11" spans="1:21" ht="16.5" x14ac:dyDescent="0.3">
      <c r="D11" s="5" t="s">
        <v>19</v>
      </c>
      <c r="E11" s="2" t="s">
        <v>26</v>
      </c>
      <c r="F11" s="57">
        <v>0.1</v>
      </c>
      <c r="G11"/>
    </row>
    <row r="12" spans="1:21" ht="16.5" x14ac:dyDescent="0.3">
      <c r="C12" s="5"/>
      <c r="D12" s="51"/>
      <c r="E12"/>
      <c r="F12" s="58"/>
      <c r="G12"/>
    </row>
    <row r="13" spans="1:21" x14ac:dyDescent="0.25">
      <c r="C13" s="63" t="s">
        <v>20</v>
      </c>
      <c r="D13"/>
      <c r="E13"/>
      <c r="F13" s="58"/>
      <c r="G13"/>
      <c r="H13"/>
      <c r="I13"/>
      <c r="J13"/>
      <c r="K13"/>
      <c r="L13"/>
      <c r="M13"/>
      <c r="N13"/>
      <c r="O13"/>
      <c r="P13"/>
      <c r="Q13"/>
      <c r="R13"/>
      <c r="S13"/>
      <c r="T13"/>
      <c r="U13"/>
    </row>
    <row r="14" spans="1:21" ht="16.5" x14ac:dyDescent="0.3">
      <c r="D14" s="5" t="s">
        <v>23</v>
      </c>
      <c r="F14" s="59">
        <v>0.2</v>
      </c>
      <c r="G14"/>
      <c r="H14"/>
      <c r="I14"/>
      <c r="J14"/>
      <c r="K14"/>
      <c r="L14"/>
      <c r="M14"/>
      <c r="N14"/>
      <c r="O14"/>
      <c r="P14"/>
      <c r="Q14"/>
      <c r="R14"/>
      <c r="S14"/>
      <c r="T14"/>
      <c r="U14"/>
    </row>
    <row r="15" spans="1:21" ht="16.5" x14ac:dyDescent="0.3">
      <c r="D15" s="5" t="s">
        <v>22</v>
      </c>
      <c r="F15" s="60">
        <v>15</v>
      </c>
      <c r="G15"/>
      <c r="H15"/>
      <c r="I15"/>
      <c r="J15"/>
      <c r="K15"/>
      <c r="L15"/>
      <c r="M15"/>
      <c r="N15"/>
      <c r="O15"/>
      <c r="P15"/>
      <c r="Q15"/>
      <c r="R15"/>
      <c r="S15"/>
      <c r="T15"/>
      <c r="U15"/>
    </row>
    <row r="16" spans="1:21" ht="16.5" x14ac:dyDescent="0.3">
      <c r="D16" s="5" t="s">
        <v>21</v>
      </c>
      <c r="F16" s="60">
        <v>1000000</v>
      </c>
      <c r="G16"/>
      <c r="H16"/>
      <c r="I16"/>
      <c r="J16"/>
      <c r="K16"/>
      <c r="L16"/>
      <c r="M16"/>
      <c r="N16"/>
      <c r="O16"/>
      <c r="P16"/>
    </row>
    <row r="17" spans="1:17" ht="18" thickBot="1" x14ac:dyDescent="0.35">
      <c r="A17"/>
      <c r="B17"/>
      <c r="C17"/>
      <c r="D17"/>
      <c r="E17"/>
      <c r="F17"/>
      <c r="G17"/>
      <c r="H17"/>
      <c r="I17"/>
      <c r="J17"/>
      <c r="K17"/>
      <c r="L17" s="5"/>
      <c r="M17" s="19"/>
      <c r="N17" s="6"/>
      <c r="O17"/>
      <c r="P17"/>
    </row>
    <row r="18" spans="1:17" ht="18" customHeight="1" thickTop="1" thickBot="1" x14ac:dyDescent="0.35">
      <c r="A18"/>
      <c r="C18" s="127" t="s">
        <v>28</v>
      </c>
      <c r="D18" s="128"/>
      <c r="E18" s="123" t="s">
        <v>1</v>
      </c>
      <c r="F18" s="124"/>
      <c r="G18"/>
      <c r="L18" s="5"/>
      <c r="M18" s="16"/>
      <c r="N18" s="24"/>
      <c r="O18"/>
      <c r="P18"/>
    </row>
    <row r="19" spans="1:17" ht="16.5" thickTop="1" thickBot="1" x14ac:dyDescent="0.3">
      <c r="A19"/>
      <c r="C19" s="129"/>
      <c r="D19" s="130"/>
      <c r="E19" s="73" t="s">
        <v>2</v>
      </c>
      <c r="F19" s="74" t="s">
        <v>3</v>
      </c>
      <c r="G19"/>
      <c r="L19"/>
      <c r="M19"/>
      <c r="N19"/>
      <c r="O19"/>
      <c r="P19"/>
    </row>
    <row r="20" spans="1:17" ht="15.75" thickBot="1" x14ac:dyDescent="0.3">
      <c r="A20"/>
      <c r="C20" s="125" t="s">
        <v>4</v>
      </c>
      <c r="D20" s="75" t="s">
        <v>5</v>
      </c>
      <c r="E20" s="67">
        <v>60</v>
      </c>
      <c r="F20" s="68">
        <v>70</v>
      </c>
      <c r="G20"/>
      <c r="L20"/>
      <c r="M20"/>
      <c r="N20"/>
      <c r="O20"/>
      <c r="P20"/>
    </row>
    <row r="21" spans="1:17" ht="16.5" thickTop="1" thickBot="1" x14ac:dyDescent="0.3">
      <c r="A21"/>
      <c r="C21" s="126"/>
      <c r="D21" s="76" t="s">
        <v>6</v>
      </c>
      <c r="E21" s="65">
        <v>40</v>
      </c>
      <c r="F21" s="66">
        <v>30</v>
      </c>
      <c r="G21"/>
      <c r="L21"/>
      <c r="M21"/>
      <c r="N21"/>
      <c r="O21"/>
      <c r="P21"/>
    </row>
    <row r="22" spans="1:17" ht="16.5" thickTop="1" thickBot="1" x14ac:dyDescent="0.3">
      <c r="A22"/>
      <c r="B22"/>
      <c r="C22"/>
      <c r="D22"/>
      <c r="E22"/>
      <c r="F22"/>
      <c r="G22"/>
      <c r="H22"/>
      <c r="I22"/>
      <c r="J22"/>
      <c r="K22"/>
      <c r="L22"/>
      <c r="M22"/>
      <c r="N22"/>
      <c r="O22"/>
      <c r="P22"/>
    </row>
    <row r="23" spans="1:17" ht="15" customHeight="1" thickTop="1" thickBot="1" x14ac:dyDescent="0.3">
      <c r="A23"/>
      <c r="C23" s="149" t="s">
        <v>61</v>
      </c>
      <c r="D23" s="150"/>
      <c r="E23" s="123" t="s">
        <v>1</v>
      </c>
      <c r="F23" s="124"/>
      <c r="G23"/>
      <c r="H23" s="153"/>
      <c r="I23" s="153"/>
      <c r="J23" s="154"/>
      <c r="K23" s="154"/>
      <c r="L23"/>
      <c r="M23"/>
      <c r="N23"/>
      <c r="O23"/>
      <c r="P23"/>
    </row>
    <row r="24" spans="1:17" ht="24.75" customHeight="1" thickTop="1" thickBot="1" x14ac:dyDescent="0.3">
      <c r="A24"/>
      <c r="C24" s="151"/>
      <c r="D24" s="152"/>
      <c r="E24" s="73" t="s">
        <v>2</v>
      </c>
      <c r="F24" s="74" t="s">
        <v>3</v>
      </c>
      <c r="G24"/>
      <c r="H24" s="153"/>
      <c r="I24" s="153"/>
      <c r="J24" s="155"/>
      <c r="K24" s="155"/>
      <c r="L24"/>
      <c r="M24"/>
      <c r="N24"/>
      <c r="O24"/>
      <c r="P24"/>
    </row>
    <row r="25" spans="1:17" ht="15.75" thickBot="1" x14ac:dyDescent="0.3">
      <c r="A25"/>
      <c r="C25" s="125" t="s">
        <v>4</v>
      </c>
      <c r="D25" s="75" t="s">
        <v>5</v>
      </c>
      <c r="E25" s="69"/>
      <c r="F25" s="70"/>
      <c r="G25" s="64"/>
      <c r="H25" s="154"/>
      <c r="I25" s="155"/>
      <c r="J25" s="156"/>
      <c r="K25" s="156"/>
      <c r="L25"/>
      <c r="M25"/>
      <c r="N25"/>
      <c r="O25"/>
      <c r="P25"/>
    </row>
    <row r="26" spans="1:17" ht="16.5" thickTop="1" thickBot="1" x14ac:dyDescent="0.3">
      <c r="A26"/>
      <c r="C26" s="126"/>
      <c r="D26" s="76" t="s">
        <v>6</v>
      </c>
      <c r="E26" s="71"/>
      <c r="F26" s="72"/>
      <c r="G26"/>
      <c r="H26" s="154"/>
      <c r="I26" s="155"/>
      <c r="J26" s="156"/>
      <c r="K26" s="156"/>
      <c r="L26"/>
      <c r="M26"/>
      <c r="N26"/>
      <c r="O26"/>
      <c r="P26"/>
    </row>
    <row r="27" spans="1:17" ht="15.75" thickTop="1" x14ac:dyDescent="0.25">
      <c r="A27"/>
      <c r="B27"/>
      <c r="C27"/>
      <c r="D27"/>
      <c r="E27"/>
      <c r="F27"/>
      <c r="G27"/>
      <c r="H27"/>
      <c r="I27"/>
      <c r="J27"/>
      <c r="K27"/>
      <c r="L27"/>
      <c r="M27"/>
      <c r="N27"/>
      <c r="O27"/>
      <c r="P27"/>
    </row>
    <row r="28" spans="1:17" x14ac:dyDescent="0.25">
      <c r="A28"/>
      <c r="B28"/>
      <c r="C28"/>
      <c r="D28"/>
      <c r="E28"/>
      <c r="F28"/>
      <c r="G28"/>
      <c r="H28"/>
      <c r="I28"/>
      <c r="J28"/>
      <c r="K28"/>
      <c r="L28"/>
      <c r="M28"/>
      <c r="N28"/>
      <c r="O28"/>
      <c r="P28"/>
    </row>
    <row r="29" spans="1:17" ht="15.75" thickBot="1" x14ac:dyDescent="0.3">
      <c r="A29"/>
      <c r="B29"/>
      <c r="C29"/>
      <c r="D29"/>
      <c r="E29"/>
      <c r="F29"/>
      <c r="G29"/>
      <c r="H29"/>
      <c r="I29"/>
      <c r="J29"/>
      <c r="K29"/>
      <c r="L29"/>
      <c r="M29"/>
      <c r="N29"/>
      <c r="O29"/>
      <c r="P29"/>
    </row>
    <row r="30" spans="1:17" ht="16.5" thickTop="1" thickBot="1" x14ac:dyDescent="0.3">
      <c r="A30"/>
      <c r="C30" s="53" t="s">
        <v>27</v>
      </c>
      <c r="D30" s="54">
        <v>1</v>
      </c>
      <c r="E30" s="52">
        <v>2</v>
      </c>
      <c r="F30" s="52">
        <v>3</v>
      </c>
      <c r="G30" s="52">
        <v>4</v>
      </c>
      <c r="H30" s="52">
        <v>5</v>
      </c>
      <c r="I30" s="52">
        <v>6</v>
      </c>
      <c r="J30" s="52">
        <v>7</v>
      </c>
      <c r="K30" s="52">
        <v>8</v>
      </c>
      <c r="L30" s="52">
        <v>9</v>
      </c>
      <c r="M30" s="55">
        <v>10</v>
      </c>
      <c r="N30" s="62" t="s">
        <v>18</v>
      </c>
    </row>
    <row r="31" spans="1:17" ht="27" thickTop="1" thickBot="1" x14ac:dyDescent="0.3">
      <c r="A31"/>
      <c r="C31" s="53" t="s">
        <v>24</v>
      </c>
      <c r="D31" s="56"/>
      <c r="E31" s="56"/>
      <c r="F31" s="56"/>
      <c r="G31" s="56"/>
      <c r="H31" s="56"/>
      <c r="I31" s="56"/>
      <c r="J31" s="56"/>
      <c r="K31" s="56"/>
      <c r="L31" s="56"/>
      <c r="M31" s="56"/>
      <c r="N31" s="61"/>
      <c r="O31" s="38"/>
      <c r="P31"/>
      <c r="Q31"/>
    </row>
    <row r="32" spans="1:17" x14ac:dyDescent="0.25">
      <c r="A32"/>
      <c r="C32"/>
      <c r="E32"/>
      <c r="F32"/>
      <c r="G32"/>
      <c r="H32"/>
      <c r="I32"/>
      <c r="J32"/>
      <c r="K32"/>
      <c r="L32"/>
      <c r="M32"/>
      <c r="N32"/>
      <c r="O32"/>
      <c r="P32"/>
      <c r="Q32"/>
    </row>
    <row r="33" spans="2:16" ht="18.75" x14ac:dyDescent="0.3">
      <c r="B33" s="21"/>
      <c r="C33" s="131" t="s">
        <v>0</v>
      </c>
      <c r="D33" s="131"/>
      <c r="E33" s="131"/>
      <c r="F33" s="131"/>
      <c r="G33" s="131"/>
      <c r="H33" s="131"/>
      <c r="I33" s="131"/>
      <c r="J33" s="131"/>
      <c r="K33" s="131"/>
      <c r="L33" s="131"/>
      <c r="M33" s="131"/>
      <c r="N33" s="131"/>
      <c r="O33" s="131"/>
    </row>
    <row r="34" spans="2:16" ht="15.75" thickBot="1" x14ac:dyDescent="0.3">
      <c r="C34"/>
      <c r="D34"/>
      <c r="E34"/>
      <c r="F34"/>
      <c r="G34"/>
      <c r="H34"/>
      <c r="I34"/>
      <c r="J34"/>
      <c r="K34"/>
      <c r="L34"/>
      <c r="M34"/>
      <c r="N34"/>
      <c r="O34"/>
    </row>
    <row r="35" spans="2:16" ht="16.5" thickTop="1" thickBot="1" x14ac:dyDescent="0.3">
      <c r="C35" s="127" t="s">
        <v>32</v>
      </c>
      <c r="D35" s="128"/>
      <c r="E35" s="123" t="s">
        <v>1</v>
      </c>
      <c r="F35" s="124"/>
      <c r="G35" s="35"/>
      <c r="H35" s="35"/>
      <c r="I35"/>
      <c r="J35"/>
      <c r="K35" s="35"/>
      <c r="L35" s="35"/>
      <c r="M35" s="35"/>
      <c r="N35" s="35"/>
      <c r="O35" s="35"/>
    </row>
    <row r="36" spans="2:16" ht="16.5" thickTop="1" thickBot="1" x14ac:dyDescent="0.3">
      <c r="C36" s="129"/>
      <c r="D36" s="130"/>
      <c r="E36" s="73" t="s">
        <v>2</v>
      </c>
      <c r="F36" s="74" t="s">
        <v>3</v>
      </c>
      <c r="G36" s="36"/>
      <c r="H36"/>
      <c r="I36"/>
      <c r="J36"/>
      <c r="K36"/>
      <c r="L36"/>
      <c r="M36" s="36"/>
      <c r="N36" s="36"/>
      <c r="O36" s="36"/>
    </row>
    <row r="37" spans="2:16" ht="15.75" thickBot="1" x14ac:dyDescent="0.3">
      <c r="C37" s="125" t="s">
        <v>4</v>
      </c>
      <c r="D37" s="75" t="s">
        <v>5</v>
      </c>
      <c r="E37" s="69"/>
      <c r="F37" s="69"/>
      <c r="G37" s="37"/>
      <c r="H37" s="38" t="s">
        <v>25</v>
      </c>
      <c r="I37"/>
      <c r="J37"/>
      <c r="K37" s="37"/>
      <c r="L37" s="37"/>
      <c r="M37" s="37"/>
      <c r="N37" s="37"/>
      <c r="O37" s="37"/>
    </row>
    <row r="38" spans="2:16" ht="16.5" thickTop="1" thickBot="1" x14ac:dyDescent="0.3">
      <c r="C38" s="126"/>
      <c r="D38" s="76" t="s">
        <v>6</v>
      </c>
      <c r="E38" s="69"/>
      <c r="F38" s="69"/>
      <c r="G38" s="37"/>
      <c r="H38" s="38"/>
      <c r="I38"/>
      <c r="J38"/>
      <c r="K38" s="37"/>
      <c r="L38" s="37"/>
      <c r="M38" s="37"/>
      <c r="N38" s="37"/>
      <c r="O38" s="37"/>
    </row>
    <row r="39" spans="2:16" ht="16.5" thickTop="1" thickBot="1" x14ac:dyDescent="0.3">
      <c r="C39" s="39"/>
      <c r="D39"/>
      <c r="E39"/>
      <c r="F39"/>
      <c r="G39" s="37"/>
      <c r="H39" s="40"/>
      <c r="I39"/>
      <c r="J39"/>
      <c r="K39" s="37"/>
      <c r="L39" s="37"/>
      <c r="M39" s="37"/>
      <c r="N39" s="37"/>
      <c r="O39" s="37"/>
    </row>
    <row r="40" spans="2:16" ht="22.5" customHeight="1" thickTop="1" thickBot="1" x14ac:dyDescent="0.3">
      <c r="C40" s="134" t="s">
        <v>29</v>
      </c>
      <c r="D40" s="135"/>
      <c r="E40" s="123" t="s">
        <v>1</v>
      </c>
      <c r="F40" s="124"/>
      <c r="G40" s="37"/>
      <c r="H40" s="40"/>
      <c r="I40"/>
      <c r="J40"/>
      <c r="K40" s="37"/>
      <c r="L40" s="37"/>
      <c r="M40" s="37"/>
      <c r="N40" s="37"/>
      <c r="O40" s="37"/>
    </row>
    <row r="41" spans="2:16" ht="16.5" thickTop="1" thickBot="1" x14ac:dyDescent="0.3">
      <c r="C41" s="136"/>
      <c r="D41" s="137"/>
      <c r="E41" s="73" t="s">
        <v>2</v>
      </c>
      <c r="F41" s="74" t="s">
        <v>3</v>
      </c>
      <c r="G41" s="37"/>
      <c r="H41" s="41"/>
      <c r="I41"/>
      <c r="K41" s="37"/>
      <c r="L41" s="37"/>
      <c r="M41" s="37"/>
      <c r="N41" s="37"/>
      <c r="O41" s="37"/>
    </row>
    <row r="42" spans="2:16" ht="18.75" thickBot="1" x14ac:dyDescent="0.3">
      <c r="C42" s="39"/>
      <c r="D42" s="77"/>
      <c r="E42" s="78">
        <v>40</v>
      </c>
      <c r="F42" s="79">
        <v>50</v>
      </c>
      <c r="G42" s="37"/>
      <c r="I42" s="37"/>
      <c r="K42" s="37"/>
      <c r="L42" s="37"/>
      <c r="M42" s="37"/>
      <c r="N42" s="37"/>
      <c r="O42" s="37"/>
    </row>
    <row r="43" spans="2:16" ht="18.75" thickBot="1" x14ac:dyDescent="0.3">
      <c r="C43" s="39"/>
      <c r="D43" s="77"/>
      <c r="E43" s="80"/>
      <c r="F43" s="80"/>
      <c r="G43" s="37"/>
      <c r="I43" s="37"/>
      <c r="J43" s="37"/>
      <c r="K43" s="37"/>
      <c r="L43" s="37"/>
      <c r="M43" s="37"/>
      <c r="N43" s="37"/>
      <c r="O43" s="37"/>
    </row>
    <row r="44" spans="2:16" ht="15" customHeight="1" x14ac:dyDescent="0.25">
      <c r="C44" s="134" t="s">
        <v>30</v>
      </c>
      <c r="D44" s="135"/>
      <c r="E44"/>
      <c r="F44"/>
      <c r="G44" s="37"/>
      <c r="I44" s="134" t="s">
        <v>31</v>
      </c>
      <c r="J44" s="135"/>
      <c r="K44"/>
      <c r="M44" s="113"/>
      <c r="N44" s="114"/>
      <c r="O44" s="37"/>
      <c r="P44" s="115"/>
    </row>
    <row r="45" spans="2:16" ht="15.75" thickBot="1" x14ac:dyDescent="0.3">
      <c r="C45" s="136"/>
      <c r="D45" s="137"/>
      <c r="E45"/>
      <c r="F45"/>
      <c r="G45" s="37"/>
      <c r="I45" s="136"/>
      <c r="J45" s="137"/>
      <c r="K45"/>
      <c r="M45" s="113"/>
      <c r="N45" s="114"/>
      <c r="O45" s="37"/>
    </row>
    <row r="46" spans="2:16" ht="15.75" thickBot="1" x14ac:dyDescent="0.3">
      <c r="C46" s="132" t="s">
        <v>4</v>
      </c>
      <c r="D46" s="75" t="s">
        <v>5</v>
      </c>
      <c r="E46" s="81">
        <v>100</v>
      </c>
      <c r="G46" s="37"/>
      <c r="I46" s="132" t="s">
        <v>4</v>
      </c>
      <c r="J46" s="75" t="s">
        <v>5</v>
      </c>
      <c r="K46" s="82">
        <v>1000000</v>
      </c>
      <c r="N46" s="37"/>
      <c r="O46" s="37"/>
    </row>
    <row r="47" spans="2:16" ht="16.5" thickTop="1" thickBot="1" x14ac:dyDescent="0.3">
      <c r="C47" s="133"/>
      <c r="D47" s="87" t="s">
        <v>6</v>
      </c>
      <c r="E47" s="89">
        <v>80</v>
      </c>
      <c r="G47" s="37"/>
      <c r="I47" s="133"/>
      <c r="J47" s="87" t="s">
        <v>6</v>
      </c>
      <c r="K47" s="88">
        <v>1000000</v>
      </c>
      <c r="N47" s="37"/>
      <c r="O47" s="37"/>
    </row>
    <row r="48" spans="2:16" x14ac:dyDescent="0.25">
      <c r="C48"/>
      <c r="D48" s="42"/>
      <c r="E48"/>
      <c r="F48"/>
      <c r="G48"/>
      <c r="H48" s="42"/>
      <c r="I48"/>
      <c r="J48"/>
      <c r="K48"/>
      <c r="L48"/>
      <c r="M48"/>
      <c r="N48"/>
      <c r="O48"/>
    </row>
    <row r="49" spans="3:19" ht="18.75" x14ac:dyDescent="0.25">
      <c r="C49" s="131" t="s">
        <v>7</v>
      </c>
      <c r="D49" s="131"/>
      <c r="E49" s="131"/>
      <c r="F49" s="131"/>
      <c r="G49" s="131"/>
      <c r="H49" s="131"/>
      <c r="I49" s="131"/>
      <c r="J49" s="131"/>
      <c r="K49" s="131"/>
      <c r="L49" s="131"/>
      <c r="M49" s="131"/>
      <c r="N49" s="131"/>
      <c r="O49" s="131"/>
    </row>
    <row r="50" spans="3:19" ht="15.75" thickBot="1" x14ac:dyDescent="0.3">
      <c r="C50"/>
      <c r="D50"/>
      <c r="E50"/>
      <c r="F50"/>
      <c r="G50"/>
      <c r="H50"/>
      <c r="I50"/>
      <c r="J50"/>
      <c r="K50"/>
      <c r="L50"/>
      <c r="M50"/>
      <c r="N50"/>
      <c r="O50"/>
    </row>
    <row r="51" spans="3:19" ht="16.5" customHeight="1" thickTop="1" thickBot="1" x14ac:dyDescent="0.3">
      <c r="C51" s="127" t="s">
        <v>56</v>
      </c>
      <c r="D51" s="128"/>
      <c r="E51" s="123" t="s">
        <v>1</v>
      </c>
      <c r="F51" s="142"/>
      <c r="G51" s="145" t="s">
        <v>62</v>
      </c>
      <c r="H51" s="145" t="s">
        <v>33</v>
      </c>
      <c r="I51" s="145"/>
      <c r="J51" s="138" t="s">
        <v>34</v>
      </c>
      <c r="K51"/>
      <c r="L51"/>
      <c r="M51"/>
      <c r="N51"/>
      <c r="O51"/>
    </row>
    <row r="52" spans="3:19" ht="16.5" customHeight="1" thickTop="1" thickBot="1" x14ac:dyDescent="0.3">
      <c r="C52" s="129"/>
      <c r="D52" s="130"/>
      <c r="E52" s="73" t="s">
        <v>2</v>
      </c>
      <c r="F52" s="83" t="s">
        <v>3</v>
      </c>
      <c r="G52" s="158"/>
      <c r="H52" s="146"/>
      <c r="I52" s="146"/>
      <c r="J52" s="139"/>
      <c r="K52"/>
      <c r="L52"/>
      <c r="M52"/>
      <c r="N52"/>
      <c r="O52" s="157"/>
    </row>
    <row r="53" spans="3:19" ht="15.75" thickBot="1" x14ac:dyDescent="0.3">
      <c r="C53" s="125" t="s">
        <v>4</v>
      </c>
      <c r="D53" s="75" t="s">
        <v>5</v>
      </c>
      <c r="E53" s="117"/>
      <c r="F53" s="118"/>
      <c r="G53" s="118"/>
      <c r="H53" s="140">
        <f>SUM(E53:F53)</f>
        <v>0</v>
      </c>
      <c r="I53" s="140"/>
      <c r="J53" s="90">
        <f>E46*G53</f>
        <v>0</v>
      </c>
      <c r="K53"/>
      <c r="L53"/>
      <c r="M53"/>
      <c r="N53"/>
      <c r="O53" s="157"/>
    </row>
    <row r="54" spans="3:19" ht="16.5" thickTop="1" thickBot="1" x14ac:dyDescent="0.3">
      <c r="C54" s="126"/>
      <c r="D54" s="76" t="s">
        <v>6</v>
      </c>
      <c r="E54" s="119"/>
      <c r="F54" s="120"/>
      <c r="G54" s="120"/>
      <c r="H54" s="141">
        <f>SUM(E54:F54)</f>
        <v>0</v>
      </c>
      <c r="I54" s="141"/>
      <c r="J54" s="90">
        <f>E47*G54</f>
        <v>0</v>
      </c>
      <c r="K54"/>
      <c r="L54"/>
      <c r="M54"/>
      <c r="N54"/>
      <c r="O54" s="157"/>
      <c r="S54" s="116"/>
    </row>
    <row r="55" spans="3:19" ht="15.75" thickTop="1" x14ac:dyDescent="0.25">
      <c r="C55" s="144" t="s">
        <v>35</v>
      </c>
      <c r="D55" s="144"/>
      <c r="E55" s="80">
        <f>SUM(E53:E54)</f>
        <v>0</v>
      </c>
      <c r="F55" s="80">
        <f>SUM(F53:F54)</f>
        <v>0</v>
      </c>
      <c r="G55" s="80"/>
      <c r="H55" s="80"/>
      <c r="I55" s="80"/>
      <c r="J55" s="80"/>
      <c r="K55"/>
      <c r="L55"/>
      <c r="M55"/>
      <c r="N55"/>
      <c r="O55"/>
    </row>
    <row r="56" spans="3:19" x14ac:dyDescent="0.25">
      <c r="C56"/>
      <c r="D56"/>
      <c r="E56" s="1"/>
      <c r="F56" s="1"/>
      <c r="G56"/>
      <c r="H56"/>
      <c r="I56"/>
      <c r="J56"/>
      <c r="K56"/>
      <c r="L56"/>
      <c r="M56"/>
      <c r="N56"/>
      <c r="O56"/>
    </row>
    <row r="57" spans="3:19" ht="18.75" x14ac:dyDescent="0.25">
      <c r="C57" s="131" t="s">
        <v>8</v>
      </c>
      <c r="D57" s="131"/>
      <c r="E57" s="131"/>
      <c r="F57" s="131"/>
      <c r="G57" s="131"/>
      <c r="H57" s="131"/>
      <c r="I57" s="131"/>
      <c r="J57" s="131"/>
      <c r="K57" s="131"/>
      <c r="L57" s="131"/>
      <c r="M57" s="131"/>
      <c r="N57" s="131"/>
      <c r="O57" s="131"/>
    </row>
    <row r="58" spans="3:19" x14ac:dyDescent="0.25">
      <c r="C58" s="39"/>
      <c r="D58"/>
      <c r="E58" s="37"/>
      <c r="F58" s="37"/>
      <c r="G58" s="37"/>
      <c r="H58" s="37"/>
      <c r="I58" s="37"/>
      <c r="J58" s="37"/>
      <c r="K58" s="37"/>
      <c r="L58"/>
      <c r="M58"/>
      <c r="N58"/>
      <c r="O58"/>
    </row>
    <row r="59" spans="3:19" x14ac:dyDescent="0.25">
      <c r="C59"/>
      <c r="D59"/>
      <c r="E59"/>
      <c r="F59"/>
      <c r="G59"/>
      <c r="H59"/>
      <c r="I59"/>
      <c r="J59"/>
      <c r="K59"/>
      <c r="L59"/>
      <c r="M59"/>
      <c r="N59"/>
      <c r="O59"/>
    </row>
    <row r="60" spans="3:19" ht="16.5" customHeight="1" x14ac:dyDescent="0.25">
      <c r="C60" s="85" t="s">
        <v>9</v>
      </c>
      <c r="D60" s="43">
        <f>SUMPRODUCT(E37:F38,E53:F54)+SUMPRODUCT(K46:K47,G53:G54)</f>
        <v>0</v>
      </c>
      <c r="E60"/>
      <c r="F60" t="s">
        <v>55</v>
      </c>
      <c r="G60"/>
      <c r="H60"/>
      <c r="I60"/>
      <c r="J60"/>
      <c r="K60"/>
      <c r="L60"/>
      <c r="M60"/>
      <c r="N60"/>
      <c r="O60"/>
    </row>
    <row r="61" spans="3:19" x14ac:dyDescent="0.25">
      <c r="C61"/>
      <c r="D61"/>
      <c r="E61"/>
      <c r="F61" s="64" t="s">
        <v>57</v>
      </c>
      <c r="G61"/>
      <c r="H61"/>
      <c r="I61"/>
      <c r="J61"/>
      <c r="K61"/>
      <c r="L61"/>
      <c r="M61"/>
      <c r="N61"/>
      <c r="O61"/>
    </row>
    <row r="62" spans="3:19" ht="18.75" x14ac:dyDescent="0.25">
      <c r="C62" s="131" t="s">
        <v>10</v>
      </c>
      <c r="D62" s="131"/>
      <c r="E62" s="131"/>
      <c r="F62" s="131"/>
      <c r="G62" s="131"/>
      <c r="H62" s="131"/>
      <c r="I62" s="131"/>
      <c r="J62" s="131"/>
      <c r="K62" s="131"/>
      <c r="L62" s="131"/>
      <c r="M62" s="131"/>
      <c r="N62" s="131"/>
      <c r="O62" s="131"/>
    </row>
    <row r="63" spans="3:19" x14ac:dyDescent="0.25">
      <c r="C63"/>
      <c r="D63"/>
      <c r="E63"/>
      <c r="F63"/>
      <c r="G63"/>
      <c r="H63"/>
      <c r="I63"/>
      <c r="J63"/>
      <c r="K63"/>
      <c r="L63"/>
      <c r="M63"/>
      <c r="N63"/>
      <c r="O63"/>
    </row>
    <row r="64" spans="3:19" x14ac:dyDescent="0.25">
      <c r="C64" s="143" t="s">
        <v>11</v>
      </c>
      <c r="D64" s="143"/>
      <c r="E64" s="143"/>
      <c r="F64" s="143"/>
      <c r="G64" s="143"/>
      <c r="H64"/>
      <c r="I64"/>
      <c r="J64"/>
      <c r="K64"/>
      <c r="L64"/>
      <c r="M64"/>
      <c r="N64"/>
      <c r="O64"/>
    </row>
    <row r="65" spans="3:15" x14ac:dyDescent="0.25">
      <c r="C65"/>
      <c r="D65"/>
      <c r="E65"/>
      <c r="F65"/>
      <c r="G65"/>
      <c r="H65"/>
      <c r="I65"/>
      <c r="J65"/>
      <c r="K65"/>
      <c r="L65"/>
      <c r="M65"/>
      <c r="N65"/>
      <c r="O65"/>
    </row>
    <row r="66" spans="3:15" x14ac:dyDescent="0.25">
      <c r="C66"/>
      <c r="D66"/>
      <c r="E66" s="37"/>
      <c r="F66"/>
      <c r="G66" s="37"/>
      <c r="H66"/>
      <c r="I66" s="37"/>
      <c r="J66"/>
      <c r="K66"/>
      <c r="L66"/>
      <c r="M66"/>
      <c r="N66"/>
      <c r="O66"/>
    </row>
    <row r="67" spans="3:15" x14ac:dyDescent="0.25">
      <c r="C67"/>
      <c r="D67"/>
      <c r="E67"/>
      <c r="F67"/>
      <c r="G67"/>
      <c r="H67"/>
      <c r="I67"/>
      <c r="J67"/>
      <c r="K67"/>
      <c r="L67"/>
      <c r="M67"/>
      <c r="N67"/>
      <c r="O67"/>
    </row>
    <row r="68" spans="3:15" x14ac:dyDescent="0.25">
      <c r="C68" s="143" t="s">
        <v>12</v>
      </c>
      <c r="D68" s="143"/>
      <c r="E68" s="143"/>
      <c r="F68" s="143"/>
      <c r="G68" s="143"/>
      <c r="H68"/>
      <c r="I68"/>
      <c r="J68"/>
      <c r="K68"/>
      <c r="L68"/>
      <c r="M68"/>
      <c r="N68"/>
      <c r="O68"/>
    </row>
    <row r="69" spans="3:15" x14ac:dyDescent="0.25">
      <c r="C69"/>
      <c r="D69"/>
      <c r="E69"/>
      <c r="F69"/>
      <c r="G69"/>
      <c r="H69"/>
      <c r="I69"/>
      <c r="J69"/>
      <c r="K69"/>
      <c r="L69"/>
      <c r="M69"/>
      <c r="N69"/>
      <c r="O69"/>
    </row>
    <row r="70" spans="3:15" x14ac:dyDescent="0.25">
      <c r="C70"/>
      <c r="D70"/>
      <c r="E70"/>
      <c r="F70"/>
      <c r="G70"/>
      <c r="H70"/>
      <c r="I70"/>
      <c r="J70"/>
      <c r="K70"/>
      <c r="L70"/>
      <c r="M70"/>
      <c r="N70"/>
      <c r="O70"/>
    </row>
    <row r="71" spans="3:15" x14ac:dyDescent="0.25">
      <c r="C71"/>
      <c r="D71"/>
      <c r="E71"/>
      <c r="F71"/>
      <c r="G71"/>
      <c r="H71"/>
      <c r="I71"/>
      <c r="J71"/>
      <c r="K71"/>
      <c r="L71"/>
      <c r="M71"/>
      <c r="N71"/>
      <c r="O71"/>
    </row>
    <row r="72" spans="3:15" x14ac:dyDescent="0.25">
      <c r="C72" s="143"/>
      <c r="D72" s="143"/>
      <c r="E72" s="143"/>
      <c r="F72" s="143"/>
      <c r="G72" s="143"/>
      <c r="H72"/>
      <c r="I72"/>
      <c r="J72"/>
      <c r="K72"/>
      <c r="L72"/>
      <c r="M72"/>
      <c r="N72"/>
      <c r="O72"/>
    </row>
    <row r="73" spans="3:15" x14ac:dyDescent="0.25">
      <c r="C73"/>
      <c r="D73"/>
      <c r="E73"/>
      <c r="F73"/>
      <c r="G73"/>
      <c r="H73"/>
      <c r="I73"/>
      <c r="J73"/>
      <c r="K73"/>
      <c r="L73"/>
      <c r="M73"/>
      <c r="N73"/>
      <c r="O73"/>
    </row>
    <row r="74" spans="3:15" x14ac:dyDescent="0.25">
      <c r="C74"/>
      <c r="D74"/>
      <c r="E74"/>
      <c r="F74"/>
      <c r="G74"/>
      <c r="H74"/>
      <c r="I74"/>
      <c r="J74"/>
      <c r="K74"/>
      <c r="L74"/>
      <c r="M74"/>
      <c r="N74"/>
      <c r="O74"/>
    </row>
    <row r="75" spans="3:15" x14ac:dyDescent="0.25">
      <c r="C75"/>
      <c r="D75"/>
      <c r="E75"/>
      <c r="F75"/>
      <c r="G75"/>
      <c r="H75"/>
      <c r="I75"/>
      <c r="J75"/>
      <c r="K75"/>
      <c r="L75"/>
      <c r="M75"/>
      <c r="N75"/>
      <c r="O75"/>
    </row>
    <row r="96" spans="3:3" x14ac:dyDescent="0.25">
      <c r="C96" s="84"/>
    </row>
    <row r="97" spans="2:15" x14ac:dyDescent="0.25">
      <c r="C97" s="84"/>
    </row>
    <row r="98" spans="2:15" x14ac:dyDescent="0.25">
      <c r="C98" s="84"/>
    </row>
    <row r="99" spans="2:15" ht="18" thickBot="1" x14ac:dyDescent="0.35">
      <c r="B99" s="8"/>
      <c r="C99" s="27"/>
      <c r="D99" s="27"/>
      <c r="E99" s="28"/>
      <c r="F99" s="29"/>
      <c r="G99" s="30"/>
      <c r="H99" s="8"/>
      <c r="I99" s="8"/>
      <c r="J99" s="8"/>
      <c r="K99" s="8"/>
      <c r="L99" s="8"/>
      <c r="M99" s="8"/>
      <c r="N99" s="8"/>
      <c r="O99" s="8"/>
    </row>
    <row r="100" spans="2:15" ht="17.25" x14ac:dyDescent="0.3">
      <c r="B100" s="10"/>
      <c r="C100" s="14"/>
      <c r="D100" s="14"/>
      <c r="E100" s="18"/>
      <c r="F100" s="33"/>
      <c r="G100" s="23"/>
      <c r="H100" s="13"/>
      <c r="I100" s="13"/>
      <c r="J100" s="13"/>
      <c r="K100" s="13"/>
      <c r="L100" s="13"/>
      <c r="M100" s="13"/>
      <c r="N100" s="13"/>
      <c r="O100" s="13"/>
    </row>
  </sheetData>
  <mergeCells count="35">
    <mergeCell ref="J51:J52"/>
    <mergeCell ref="H53:I53"/>
    <mergeCell ref="H54:I54"/>
    <mergeCell ref="E51:F51"/>
    <mergeCell ref="C72:G72"/>
    <mergeCell ref="G51:G52"/>
    <mergeCell ref="C64:G64"/>
    <mergeCell ref="C68:G68"/>
    <mergeCell ref="C55:D55"/>
    <mergeCell ref="C57:O57"/>
    <mergeCell ref="C62:O62"/>
    <mergeCell ref="C51:D52"/>
    <mergeCell ref="C53:C54"/>
    <mergeCell ref="H51:I52"/>
    <mergeCell ref="C33:O33"/>
    <mergeCell ref="E35:F35"/>
    <mergeCell ref="E40:F40"/>
    <mergeCell ref="C49:O49"/>
    <mergeCell ref="C35:D36"/>
    <mergeCell ref="C37:C38"/>
    <mergeCell ref="C46:C47"/>
    <mergeCell ref="C40:D41"/>
    <mergeCell ref="C44:D45"/>
    <mergeCell ref="I44:J45"/>
    <mergeCell ref="I46:I47"/>
    <mergeCell ref="J23:K23"/>
    <mergeCell ref="H25:H26"/>
    <mergeCell ref="B2:I5"/>
    <mergeCell ref="E18:F18"/>
    <mergeCell ref="C20:C21"/>
    <mergeCell ref="C25:C26"/>
    <mergeCell ref="C18:D19"/>
    <mergeCell ref="C23:D24"/>
    <mergeCell ref="E23:F23"/>
    <mergeCell ref="H23:I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showGridLines="0" zoomScale="130" zoomScaleNormal="130" workbookViewId="0">
      <selection activeCell="I21" sqref="I21"/>
    </sheetView>
  </sheetViews>
  <sheetFormatPr defaultColWidth="12.42578125" defaultRowHeight="15" x14ac:dyDescent="0.25"/>
  <cols>
    <col min="1" max="1" width="3.85546875" style="2" customWidth="1"/>
    <col min="2" max="7" width="12.42578125" style="2" customWidth="1"/>
    <col min="8" max="16384" width="12.42578125" style="2"/>
  </cols>
  <sheetData>
    <row r="1" spans="1:11" ht="45" customHeight="1" x14ac:dyDescent="0.25"/>
    <row r="2" spans="1:11" ht="60" customHeight="1" x14ac:dyDescent="0.25">
      <c r="A2" s="4" t="s">
        <v>45</v>
      </c>
      <c r="B2" s="122" t="s">
        <v>48</v>
      </c>
      <c r="C2" s="122"/>
      <c r="D2" s="122"/>
      <c r="E2" s="122"/>
      <c r="F2" s="122"/>
      <c r="G2" s="122"/>
      <c r="H2" s="122"/>
      <c r="I2" s="122"/>
      <c r="J2" s="3"/>
    </row>
    <row r="3" spans="1:11" ht="60" customHeight="1" x14ac:dyDescent="0.25">
      <c r="A3" s="4"/>
      <c r="B3" s="122"/>
      <c r="C3" s="122"/>
      <c r="D3" s="122"/>
      <c r="E3" s="122"/>
      <c r="F3" s="122"/>
      <c r="G3" s="122"/>
      <c r="H3" s="122"/>
      <c r="I3" s="122"/>
      <c r="J3" s="3"/>
    </row>
    <row r="4" spans="1:11" ht="60" customHeight="1" x14ac:dyDescent="0.25">
      <c r="A4" s="4"/>
      <c r="B4" s="122"/>
      <c r="C4" s="122"/>
      <c r="D4" s="122"/>
      <c r="E4" s="122"/>
      <c r="F4" s="122"/>
      <c r="G4" s="122"/>
      <c r="H4" s="122"/>
      <c r="I4" s="122"/>
      <c r="J4" s="3"/>
    </row>
    <row r="5" spans="1:11" ht="20.100000000000001" customHeight="1" x14ac:dyDescent="0.25">
      <c r="A5" s="4"/>
      <c r="B5" s="122"/>
      <c r="C5" s="122"/>
      <c r="D5" s="122"/>
      <c r="E5" s="122"/>
      <c r="F5" s="122"/>
      <c r="G5" s="122"/>
      <c r="H5" s="122"/>
      <c r="I5" s="122"/>
      <c r="J5" s="3"/>
    </row>
    <row r="6" spans="1:11" ht="18" customHeight="1" thickBot="1" x14ac:dyDescent="0.3">
      <c r="B6" s="8"/>
      <c r="C6" s="8"/>
      <c r="D6" s="8"/>
      <c r="E6" s="8"/>
      <c r="F6" s="8"/>
      <c r="G6" s="8"/>
      <c r="H6" s="8"/>
      <c r="I6" s="8"/>
      <c r="J6" s="8"/>
      <c r="K6" s="8"/>
    </row>
    <row r="7" spans="1:11" ht="17.25" x14ac:dyDescent="0.3">
      <c r="B7" s="10" t="s">
        <v>36</v>
      </c>
      <c r="C7" s="5"/>
      <c r="D7" s="5"/>
      <c r="E7" s="16"/>
      <c r="F7" s="24"/>
    </row>
    <row r="9" spans="1:11" ht="20.25" thickBot="1" x14ac:dyDescent="0.3">
      <c r="D9" s="148" t="s">
        <v>43</v>
      </c>
      <c r="E9" s="148"/>
      <c r="F9" s="148"/>
      <c r="G9" s="148"/>
    </row>
    <row r="10" spans="1:11" ht="20.25" thickTop="1" thickBot="1" x14ac:dyDescent="0.35">
      <c r="C10"/>
      <c r="D10" s="101" t="s">
        <v>5</v>
      </c>
      <c r="E10" s="101" t="s">
        <v>6</v>
      </c>
      <c r="F10" s="101" t="s">
        <v>39</v>
      </c>
      <c r="G10" s="101" t="s">
        <v>40</v>
      </c>
      <c r="H10" s="86"/>
      <c r="I10"/>
      <c r="J10"/>
    </row>
    <row r="11" spans="1:11" ht="18" thickTop="1" thickBot="1" x14ac:dyDescent="0.35">
      <c r="B11" s="2" t="s">
        <v>58</v>
      </c>
      <c r="C11" s="64" t="s">
        <v>59</v>
      </c>
      <c r="D11" s="102"/>
      <c r="E11" s="102"/>
      <c r="F11" s="102"/>
      <c r="G11" s="102"/>
      <c r="I11" s="64"/>
      <c r="J11"/>
    </row>
    <row r="12" spans="1:11" ht="21" thickTop="1" thickBot="1" x14ac:dyDescent="0.4">
      <c r="C12"/>
      <c r="D12" s="86"/>
      <c r="E12" s="86"/>
      <c r="F12" s="86"/>
      <c r="G12" s="86"/>
      <c r="I12" s="103" t="s">
        <v>42</v>
      </c>
      <c r="J12"/>
      <c r="K12"/>
    </row>
    <row r="13" spans="1:11" ht="18" thickTop="1" thickBot="1" x14ac:dyDescent="0.3">
      <c r="C13"/>
      <c r="D13" s="92"/>
      <c r="E13" s="93"/>
      <c r="F13" s="93"/>
      <c r="G13" s="94"/>
      <c r="I13" s="104">
        <f>SUMPRODUCT(D13:G13,D11:G11)</f>
        <v>0</v>
      </c>
      <c r="J13" s="44" t="s">
        <v>60</v>
      </c>
      <c r="K13" s="58">
        <v>1</v>
      </c>
    </row>
    <row r="14" spans="1:11" ht="18" thickTop="1" thickBot="1" x14ac:dyDescent="0.3">
      <c r="C14"/>
      <c r="D14" s="95"/>
      <c r="E14" s="96"/>
      <c r="F14" s="96"/>
      <c r="G14" s="97"/>
      <c r="I14" s="104">
        <f>SUMPRODUCT(D14:G14,$D$11:$G$11)</f>
        <v>0</v>
      </c>
      <c r="J14" s="44" t="s">
        <v>60</v>
      </c>
      <c r="K14" s="58">
        <v>1</v>
      </c>
    </row>
    <row r="15" spans="1:11" ht="18" thickTop="1" thickBot="1" x14ac:dyDescent="0.3">
      <c r="C15"/>
      <c r="D15" s="95"/>
      <c r="E15" s="96"/>
      <c r="F15" s="96"/>
      <c r="G15" s="97"/>
      <c r="I15" s="104">
        <f t="shared" ref="I15:I17" si="0">SUMPRODUCT(D15:G15,$D$11:$G$11)</f>
        <v>0</v>
      </c>
      <c r="J15" s="44" t="s">
        <v>60</v>
      </c>
      <c r="K15" s="58">
        <v>1</v>
      </c>
    </row>
    <row r="16" spans="1:11" ht="18" thickTop="1" thickBot="1" x14ac:dyDescent="0.3">
      <c r="C16"/>
      <c r="D16" s="95"/>
      <c r="E16" s="96"/>
      <c r="F16" s="96"/>
      <c r="G16" s="97"/>
      <c r="I16" s="104">
        <f t="shared" si="0"/>
        <v>0</v>
      </c>
      <c r="J16" s="44" t="s">
        <v>60</v>
      </c>
      <c r="K16" s="58">
        <v>1</v>
      </c>
    </row>
    <row r="17" spans="2:11" ht="18" thickTop="1" thickBot="1" x14ac:dyDescent="0.3">
      <c r="C17"/>
      <c r="D17" s="98"/>
      <c r="E17" s="99"/>
      <c r="F17" s="99"/>
      <c r="G17" s="100"/>
      <c r="I17" s="104">
        <f t="shared" si="0"/>
        <v>0</v>
      </c>
      <c r="J17" s="44" t="s">
        <v>60</v>
      </c>
      <c r="K17" s="58">
        <v>1</v>
      </c>
    </row>
    <row r="18" spans="2:11" ht="16.5" thickTop="1" thickBot="1" x14ac:dyDescent="0.3">
      <c r="C18"/>
      <c r="D18"/>
      <c r="E18"/>
      <c r="F18"/>
      <c r="G18"/>
      <c r="H18"/>
      <c r="I18"/>
      <c r="J18"/>
      <c r="K18"/>
    </row>
    <row r="19" spans="2:11" ht="19.5" thickBot="1" x14ac:dyDescent="0.4">
      <c r="C19" s="105" t="s">
        <v>44</v>
      </c>
      <c r="D19" s="106"/>
      <c r="E19" s="107"/>
      <c r="F19" s="107"/>
      <c r="G19" s="108"/>
      <c r="H19"/>
      <c r="I19"/>
      <c r="J19"/>
      <c r="K19"/>
    </row>
    <row r="20" spans="2:11" ht="18.75" x14ac:dyDescent="0.3">
      <c r="C20" s="86"/>
      <c r="D20" s="86"/>
      <c r="E20" s="86"/>
      <c r="F20" s="86"/>
      <c r="G20" s="86"/>
      <c r="H20"/>
      <c r="I20"/>
      <c r="J20"/>
      <c r="K20"/>
    </row>
    <row r="21" spans="2:11" ht="20.25" x14ac:dyDescent="0.35">
      <c r="B21" s="10"/>
      <c r="C21" s="91" t="s">
        <v>41</v>
      </c>
      <c r="D21" s="109"/>
      <c r="E21" s="86"/>
      <c r="F21" s="86"/>
      <c r="G21" s="86"/>
      <c r="H21"/>
      <c r="I21"/>
      <c r="J21"/>
      <c r="K21"/>
    </row>
    <row r="22" spans="2:11" ht="17.25" x14ac:dyDescent="0.3">
      <c r="B22" s="10"/>
      <c r="C22" s="5"/>
      <c r="D22" s="5"/>
      <c r="E22" s="19"/>
      <c r="F22" s="24"/>
      <c r="G22" s="7"/>
    </row>
    <row r="23" spans="2:11" ht="17.25" x14ac:dyDescent="0.3">
      <c r="B23" s="10"/>
      <c r="C23" s="5"/>
      <c r="D23" s="5"/>
      <c r="E23" s="19"/>
      <c r="F23" s="15"/>
      <c r="G23" s="7"/>
    </row>
    <row r="24" spans="2:11" ht="17.25" x14ac:dyDescent="0.3">
      <c r="B24" s="10"/>
      <c r="C24" s="5"/>
      <c r="D24" s="5"/>
      <c r="E24" s="19"/>
      <c r="F24" s="32"/>
      <c r="G24" s="7"/>
    </row>
    <row r="25" spans="2:11" ht="17.25" x14ac:dyDescent="0.3">
      <c r="B25" s="10"/>
      <c r="C25" s="5"/>
      <c r="D25" s="5"/>
      <c r="E25" s="19"/>
      <c r="F25" s="32"/>
      <c r="G25" s="12"/>
    </row>
    <row r="26" spans="2:11" ht="17.25" x14ac:dyDescent="0.3">
      <c r="B26" s="10"/>
      <c r="C26" s="5"/>
      <c r="D26" s="5"/>
      <c r="E26" s="22"/>
      <c r="F26" s="32"/>
      <c r="G26" s="7"/>
    </row>
    <row r="28" spans="2:11" x14ac:dyDescent="0.25">
      <c r="B28" s="147"/>
      <c r="C28" s="147"/>
      <c r="D28" s="147"/>
      <c r="E28" s="147"/>
      <c r="F28" s="147"/>
      <c r="G28" s="147"/>
      <c r="H28" s="147"/>
      <c r="I28" s="147"/>
    </row>
    <row r="29" spans="2:11" x14ac:dyDescent="0.25">
      <c r="B29" s="147"/>
      <c r="C29" s="147"/>
      <c r="D29" s="147"/>
      <c r="E29" s="147"/>
      <c r="F29" s="147"/>
      <c r="G29" s="147"/>
      <c r="H29" s="147"/>
      <c r="I29" s="147"/>
    </row>
    <row r="47" spans="2:11" ht="18" thickBot="1" x14ac:dyDescent="0.35">
      <c r="B47" s="8"/>
      <c r="C47" s="27"/>
      <c r="D47" s="27"/>
      <c r="E47" s="28"/>
      <c r="F47" s="29"/>
      <c r="G47" s="30"/>
      <c r="H47" s="8"/>
      <c r="I47" s="8"/>
      <c r="J47" s="8"/>
      <c r="K47" s="8"/>
    </row>
    <row r="48" spans="2:11" ht="17.25" x14ac:dyDescent="0.3">
      <c r="B48" s="10"/>
      <c r="C48" s="14"/>
      <c r="D48" s="14"/>
      <c r="E48" s="18"/>
      <c r="F48" s="33"/>
      <c r="G48" s="23"/>
      <c r="H48" s="13"/>
      <c r="I48" s="13"/>
      <c r="J48" s="13"/>
      <c r="K48" s="13"/>
    </row>
  </sheetData>
  <mergeCells count="3">
    <mergeCell ref="B2:I5"/>
    <mergeCell ref="B28:I29"/>
    <mergeCell ref="D9:G9"/>
  </mergeCells>
  <phoneticPr fontId="1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showGridLines="0" zoomScale="115" zoomScaleNormal="115" workbookViewId="0">
      <selection activeCell="I23" sqref="I23"/>
    </sheetView>
  </sheetViews>
  <sheetFormatPr defaultColWidth="12.42578125" defaultRowHeight="15" x14ac:dyDescent="0.25"/>
  <cols>
    <col min="1" max="1" width="3.85546875" style="2" customWidth="1"/>
    <col min="2" max="7" width="12.42578125" style="2" customWidth="1"/>
    <col min="8" max="16384" width="12.42578125" style="2"/>
  </cols>
  <sheetData>
    <row r="1" spans="1:20" ht="45" customHeight="1" x14ac:dyDescent="0.25"/>
    <row r="2" spans="1:20" ht="60" customHeight="1" x14ac:dyDescent="0.25">
      <c r="A2" s="4" t="s">
        <v>47</v>
      </c>
      <c r="B2" s="122" t="s">
        <v>46</v>
      </c>
      <c r="C2" s="122"/>
      <c r="D2" s="122"/>
      <c r="E2" s="122"/>
      <c r="F2" s="122"/>
      <c r="G2" s="122"/>
      <c r="H2" s="122"/>
      <c r="I2" s="122"/>
      <c r="J2" s="3"/>
    </row>
    <row r="3" spans="1:20" ht="60" customHeight="1" x14ac:dyDescent="0.25">
      <c r="A3" s="4"/>
      <c r="B3" s="122"/>
      <c r="C3" s="122"/>
      <c r="D3" s="122"/>
      <c r="E3" s="122"/>
      <c r="F3" s="122"/>
      <c r="G3" s="122"/>
      <c r="H3" s="122"/>
      <c r="I3" s="122"/>
      <c r="J3" s="3"/>
    </row>
    <row r="4" spans="1:20" ht="60" customHeight="1" x14ac:dyDescent="0.25">
      <c r="A4" s="4"/>
      <c r="B4" s="122"/>
      <c r="C4" s="122"/>
      <c r="D4" s="122"/>
      <c r="E4" s="122"/>
      <c r="F4" s="122"/>
      <c r="G4" s="122"/>
      <c r="H4" s="122"/>
      <c r="I4" s="122"/>
      <c r="J4" s="3"/>
    </row>
    <row r="5" spans="1:20" ht="45" customHeight="1" x14ac:dyDescent="0.25">
      <c r="A5" s="4"/>
      <c r="B5" s="122"/>
      <c r="C5" s="122"/>
      <c r="D5" s="122"/>
      <c r="E5" s="122"/>
      <c r="F5" s="122"/>
      <c r="G5" s="122"/>
      <c r="H5" s="122"/>
      <c r="I5" s="122"/>
      <c r="J5" s="3"/>
    </row>
    <row r="6" spans="1:20" ht="18" customHeight="1" thickBot="1" x14ac:dyDescent="0.3">
      <c r="B6" s="8"/>
      <c r="C6" s="8"/>
      <c r="D6" s="8"/>
      <c r="E6" s="8"/>
      <c r="F6" s="8"/>
      <c r="G6" s="8"/>
      <c r="H6" s="8"/>
      <c r="I6" s="8"/>
      <c r="J6" s="8"/>
    </row>
    <row r="7" spans="1:20" ht="17.25" x14ac:dyDescent="0.3">
      <c r="B7" s="10" t="s">
        <v>49</v>
      </c>
      <c r="C7" s="5"/>
      <c r="D7" s="5"/>
      <c r="E7" s="16"/>
      <c r="F7" s="24"/>
    </row>
    <row r="8" spans="1:20" ht="20.25" x14ac:dyDescent="0.4">
      <c r="B8" s="10"/>
      <c r="C8" s="5"/>
      <c r="D8" s="110" t="s">
        <v>50</v>
      </c>
      <c r="E8" s="16"/>
      <c r="F8" s="24"/>
    </row>
    <row r="9" spans="1:20" ht="20.25" x14ac:dyDescent="0.4">
      <c r="B9" s="10"/>
      <c r="C9" s="5"/>
      <c r="D9" s="110" t="s">
        <v>51</v>
      </c>
      <c r="E9" s="16"/>
      <c r="F9" s="24"/>
    </row>
    <row r="10" spans="1:20" ht="20.25" x14ac:dyDescent="0.4">
      <c r="B10" s="10"/>
      <c r="C10" s="5"/>
      <c r="D10" s="110" t="s">
        <v>52</v>
      </c>
      <c r="E10" s="16"/>
      <c r="F10" s="24"/>
    </row>
    <row r="11" spans="1:20" ht="20.25" x14ac:dyDescent="0.4">
      <c r="B11" s="10"/>
      <c r="C11" s="5"/>
      <c r="D11" s="110" t="s">
        <v>53</v>
      </c>
      <c r="E11" s="16"/>
      <c r="F11" s="24"/>
    </row>
    <row r="12" spans="1:20" ht="18" thickBot="1" x14ac:dyDescent="0.35">
      <c r="B12" s="10"/>
      <c r="C12" s="45"/>
      <c r="D12" s="46"/>
      <c r="E12" s="47"/>
      <c r="F12" s="48"/>
      <c r="G12" s="45"/>
      <c r="H12" s="46"/>
      <c r="I12" s="47"/>
    </row>
    <row r="13" spans="1:20" ht="16.5" x14ac:dyDescent="0.3">
      <c r="B13" s="10"/>
      <c r="C13" s="49"/>
      <c r="D13" s="49"/>
      <c r="E13" s="49"/>
      <c r="F13" s="50"/>
      <c r="G13" s="49"/>
      <c r="H13" s="49"/>
      <c r="I13" s="49"/>
    </row>
    <row r="14" spans="1:20" ht="17.25" x14ac:dyDescent="0.3">
      <c r="B14"/>
      <c r="C14"/>
      <c r="D14" s="110"/>
      <c r="E14"/>
      <c r="F14"/>
      <c r="G14"/>
      <c r="H14"/>
      <c r="I14"/>
      <c r="J14"/>
      <c r="K14"/>
      <c r="L14"/>
      <c r="M14"/>
      <c r="N14"/>
      <c r="O14"/>
      <c r="P14"/>
      <c r="Q14"/>
      <c r="R14"/>
      <c r="S14"/>
      <c r="T14"/>
    </row>
    <row r="15" spans="1:20" ht="17.25" x14ac:dyDescent="0.3">
      <c r="B15"/>
      <c r="C15"/>
      <c r="D15" s="110"/>
      <c r="E15" s="111"/>
      <c r="F15" s="111"/>
      <c r="G15" s="64"/>
      <c r="H15"/>
      <c r="I15"/>
      <c r="J15"/>
      <c r="K15"/>
      <c r="L15"/>
      <c r="M15"/>
      <c r="N15"/>
      <c r="O15"/>
      <c r="P15"/>
      <c r="Q15"/>
      <c r="R15"/>
      <c r="S15"/>
      <c r="T15"/>
    </row>
    <row r="16" spans="1:20" x14ac:dyDescent="0.25">
      <c r="G16"/>
      <c r="H16"/>
      <c r="I16"/>
      <c r="J16"/>
      <c r="K16"/>
      <c r="L16"/>
      <c r="M16"/>
      <c r="N16"/>
      <c r="O16"/>
      <c r="P16"/>
      <c r="Q16"/>
      <c r="R16"/>
      <c r="S16"/>
      <c r="T16"/>
    </row>
    <row r="17" spans="2:20" x14ac:dyDescent="0.25">
      <c r="B17"/>
      <c r="C17"/>
      <c r="D17"/>
      <c r="E17"/>
      <c r="F17"/>
      <c r="G17"/>
      <c r="H17"/>
      <c r="I17"/>
      <c r="J17"/>
      <c r="K17"/>
      <c r="L17"/>
      <c r="M17"/>
      <c r="N17"/>
      <c r="O17"/>
      <c r="P17"/>
      <c r="Q17"/>
      <c r="R17"/>
      <c r="S17"/>
      <c r="T17"/>
    </row>
    <row r="18" spans="2:20" x14ac:dyDescent="0.25">
      <c r="B18"/>
      <c r="C18"/>
      <c r="D18"/>
      <c r="E18"/>
      <c r="F18"/>
      <c r="G18"/>
      <c r="H18"/>
      <c r="I18"/>
      <c r="J18"/>
      <c r="K18"/>
      <c r="L18"/>
      <c r="M18"/>
      <c r="N18"/>
      <c r="O18"/>
      <c r="P18"/>
      <c r="Q18"/>
      <c r="R18"/>
      <c r="S18"/>
      <c r="T18"/>
    </row>
    <row r="19" spans="2:20" x14ac:dyDescent="0.25">
      <c r="B19"/>
      <c r="C19"/>
      <c r="D19"/>
      <c r="E19"/>
      <c r="F19"/>
      <c r="G19"/>
      <c r="H19"/>
      <c r="I19"/>
      <c r="J19"/>
      <c r="K19"/>
      <c r="L19"/>
      <c r="M19"/>
      <c r="N19"/>
      <c r="O19"/>
      <c r="P19"/>
      <c r="Q19"/>
      <c r="R19"/>
      <c r="S19"/>
      <c r="T19"/>
    </row>
    <row r="20" spans="2:20" x14ac:dyDescent="0.25">
      <c r="B20"/>
      <c r="C20"/>
      <c r="D20"/>
      <c r="E20"/>
      <c r="F20"/>
      <c r="G20"/>
      <c r="H20"/>
      <c r="I20"/>
      <c r="J20"/>
      <c r="K20"/>
      <c r="L20"/>
      <c r="M20"/>
      <c r="N20"/>
      <c r="O20"/>
      <c r="P20"/>
      <c r="Q20"/>
      <c r="R20"/>
      <c r="S20"/>
      <c r="T20"/>
    </row>
    <row r="21" spans="2:20" x14ac:dyDescent="0.25">
      <c r="B21"/>
      <c r="C21"/>
      <c r="D21"/>
      <c r="E21"/>
      <c r="F21"/>
      <c r="G21"/>
      <c r="H21"/>
      <c r="I21"/>
      <c r="J21"/>
      <c r="K21"/>
      <c r="L21"/>
      <c r="M21"/>
      <c r="N21"/>
      <c r="O21"/>
      <c r="P21"/>
      <c r="Q21"/>
      <c r="R21"/>
      <c r="S21"/>
      <c r="T21"/>
    </row>
    <row r="22" spans="2:20" x14ac:dyDescent="0.25">
      <c r="B22"/>
      <c r="C22"/>
      <c r="D22"/>
      <c r="E22"/>
      <c r="F22"/>
      <c r="G22"/>
      <c r="H22"/>
      <c r="I22"/>
      <c r="J22"/>
      <c r="K22"/>
      <c r="L22"/>
      <c r="M22"/>
      <c r="N22"/>
      <c r="O22"/>
      <c r="P22"/>
      <c r="Q22"/>
      <c r="R22"/>
      <c r="S22"/>
      <c r="T22"/>
    </row>
    <row r="23" spans="2:20" x14ac:dyDescent="0.25">
      <c r="B23"/>
      <c r="C23"/>
      <c r="D23"/>
      <c r="E23"/>
      <c r="F23"/>
      <c r="G23"/>
      <c r="H23"/>
      <c r="I23"/>
      <c r="J23"/>
      <c r="K23"/>
      <c r="L23"/>
      <c r="M23"/>
      <c r="N23"/>
      <c r="O23"/>
      <c r="P23"/>
      <c r="Q23"/>
      <c r="R23"/>
      <c r="S23"/>
      <c r="T23"/>
    </row>
    <row r="24" spans="2:20" x14ac:dyDescent="0.25">
      <c r="B24"/>
      <c r="C24"/>
      <c r="D24"/>
      <c r="E24"/>
      <c r="F24"/>
      <c r="G24"/>
      <c r="H24"/>
      <c r="I24"/>
      <c r="J24"/>
      <c r="K24"/>
      <c r="L24"/>
      <c r="M24"/>
      <c r="N24"/>
      <c r="O24"/>
      <c r="P24"/>
      <c r="Q24"/>
      <c r="R24"/>
      <c r="S24"/>
      <c r="T24"/>
    </row>
    <row r="25" spans="2:20" x14ac:dyDescent="0.25">
      <c r="B25"/>
      <c r="C25"/>
      <c r="D25"/>
      <c r="E25"/>
      <c r="F25"/>
      <c r="G25"/>
      <c r="H25"/>
      <c r="I25"/>
      <c r="J25"/>
      <c r="K25"/>
      <c r="L25"/>
      <c r="M25"/>
      <c r="N25"/>
      <c r="O25"/>
      <c r="P25"/>
      <c r="Q25"/>
      <c r="R25"/>
      <c r="S25"/>
      <c r="T25"/>
    </row>
    <row r="26" spans="2:20" x14ac:dyDescent="0.25">
      <c r="B26"/>
      <c r="C26"/>
      <c r="D26"/>
      <c r="E26"/>
      <c r="F26"/>
      <c r="G26"/>
      <c r="H26"/>
      <c r="I26"/>
      <c r="J26"/>
      <c r="K26"/>
      <c r="L26"/>
      <c r="M26"/>
      <c r="N26"/>
      <c r="O26"/>
      <c r="P26"/>
      <c r="Q26"/>
      <c r="R26"/>
      <c r="S26"/>
      <c r="T26"/>
    </row>
    <row r="27" spans="2:20" x14ac:dyDescent="0.25">
      <c r="B27"/>
      <c r="C27"/>
      <c r="D27"/>
      <c r="E27"/>
      <c r="F27"/>
      <c r="G27"/>
      <c r="H27"/>
      <c r="I27"/>
      <c r="J27"/>
      <c r="K27"/>
      <c r="L27"/>
      <c r="M27"/>
      <c r="N27"/>
      <c r="O27"/>
      <c r="P27"/>
      <c r="Q27"/>
      <c r="R27"/>
      <c r="S27"/>
      <c r="T27"/>
    </row>
    <row r="28" spans="2:20" ht="18" thickBot="1" x14ac:dyDescent="0.35">
      <c r="B28"/>
      <c r="C28" s="45"/>
      <c r="D28" s="46"/>
      <c r="E28" s="47"/>
      <c r="F28" s="48"/>
      <c r="G28" s="45"/>
      <c r="H28" s="46"/>
      <c r="I28" s="47"/>
      <c r="J28"/>
      <c r="K28"/>
      <c r="L28"/>
      <c r="M28"/>
      <c r="N28"/>
      <c r="O28"/>
      <c r="P28"/>
      <c r="Q28"/>
      <c r="R28"/>
      <c r="S28"/>
      <c r="T28"/>
    </row>
    <row r="29" spans="2:20" x14ac:dyDescent="0.25">
      <c r="B29"/>
      <c r="C29" s="49"/>
      <c r="D29" s="49"/>
      <c r="E29" s="49"/>
      <c r="F29" s="50"/>
      <c r="G29" s="49"/>
      <c r="H29" s="49"/>
      <c r="I29" s="49"/>
      <c r="J29"/>
      <c r="K29"/>
      <c r="L29"/>
      <c r="M29"/>
      <c r="N29"/>
      <c r="O29"/>
      <c r="P29"/>
      <c r="Q29"/>
      <c r="R29"/>
      <c r="S29"/>
      <c r="T29"/>
    </row>
    <row r="30" spans="2:20" ht="17.25" x14ac:dyDescent="0.3">
      <c r="C30" s="110"/>
      <c r="E30"/>
      <c r="F30"/>
      <c r="G30"/>
      <c r="H30"/>
      <c r="I30"/>
      <c r="J30"/>
      <c r="K30"/>
      <c r="L30"/>
      <c r="M30"/>
      <c r="N30"/>
      <c r="O30"/>
      <c r="P30"/>
      <c r="Q30"/>
      <c r="R30"/>
      <c r="S30"/>
      <c r="T30"/>
    </row>
    <row r="31" spans="2:20" ht="18" thickBot="1" x14ac:dyDescent="0.35">
      <c r="B31"/>
      <c r="C31" s="45"/>
      <c r="D31" s="46"/>
      <c r="E31" s="47"/>
      <c r="F31" s="48"/>
      <c r="G31" s="45"/>
      <c r="H31" s="46"/>
      <c r="I31" s="47"/>
      <c r="J31"/>
      <c r="K31"/>
      <c r="L31"/>
      <c r="M31"/>
      <c r="N31"/>
      <c r="O31"/>
      <c r="P31"/>
      <c r="Q31"/>
      <c r="R31"/>
      <c r="S31"/>
      <c r="T31"/>
    </row>
    <row r="32" spans="2:20" ht="22.5" customHeight="1" x14ac:dyDescent="0.25">
      <c r="B32"/>
      <c r="C32" s="49"/>
      <c r="D32" s="49"/>
      <c r="E32" s="49"/>
      <c r="F32" s="50"/>
      <c r="G32" s="49"/>
      <c r="H32" s="49"/>
      <c r="I32" s="49"/>
      <c r="J32"/>
      <c r="K32"/>
      <c r="L32"/>
      <c r="M32"/>
      <c r="N32"/>
      <c r="O32"/>
      <c r="P32"/>
      <c r="Q32"/>
      <c r="R32"/>
      <c r="S32"/>
      <c r="T32"/>
    </row>
    <row r="33" spans="2:20" ht="17.25" x14ac:dyDescent="0.3">
      <c r="B33"/>
      <c r="C33"/>
      <c r="D33" s="110"/>
      <c r="E33"/>
      <c r="F33"/>
      <c r="G33"/>
      <c r="H33"/>
      <c r="I33"/>
      <c r="J33"/>
      <c r="K33"/>
      <c r="L33"/>
      <c r="M33"/>
      <c r="N33"/>
      <c r="O33"/>
      <c r="P33"/>
      <c r="Q33"/>
      <c r="R33"/>
      <c r="S33"/>
      <c r="T33"/>
    </row>
    <row r="34" spans="2:20" ht="17.25" x14ac:dyDescent="0.3">
      <c r="B34"/>
      <c r="C34"/>
      <c r="D34" s="110"/>
      <c r="E34"/>
      <c r="F34"/>
      <c r="G34"/>
      <c r="H34"/>
      <c r="I34"/>
      <c r="J34"/>
      <c r="K34"/>
      <c r="L34"/>
      <c r="M34"/>
      <c r="N34"/>
      <c r="O34"/>
      <c r="P34"/>
      <c r="Q34"/>
      <c r="R34"/>
      <c r="S34"/>
      <c r="T34"/>
    </row>
    <row r="35" spans="2:20" ht="17.25" x14ac:dyDescent="0.3">
      <c r="B35"/>
      <c r="C35"/>
      <c r="D35" s="110"/>
      <c r="E35"/>
      <c r="F35"/>
      <c r="G35"/>
      <c r="H35"/>
      <c r="I35"/>
      <c r="J35"/>
      <c r="K35"/>
      <c r="L35"/>
      <c r="M35"/>
      <c r="N35"/>
      <c r="O35"/>
      <c r="P35"/>
      <c r="Q35"/>
      <c r="R35"/>
      <c r="S35"/>
      <c r="T35"/>
    </row>
    <row r="36" spans="2:20" ht="17.25" x14ac:dyDescent="0.3">
      <c r="B36"/>
      <c r="C36"/>
      <c r="D36" s="110"/>
      <c r="E36"/>
      <c r="F36"/>
      <c r="G36"/>
      <c r="H36"/>
      <c r="I36"/>
      <c r="J36"/>
      <c r="K36"/>
      <c r="L36"/>
      <c r="M36"/>
      <c r="N36"/>
      <c r="O36"/>
      <c r="P36"/>
      <c r="Q36"/>
      <c r="R36"/>
      <c r="S36"/>
      <c r="T36"/>
    </row>
    <row r="37" spans="2:20" x14ac:dyDescent="0.25">
      <c r="B37"/>
      <c r="C37"/>
      <c r="D37"/>
      <c r="E37"/>
      <c r="F37"/>
      <c r="G37"/>
      <c r="H37"/>
      <c r="I37"/>
      <c r="J37"/>
      <c r="K37"/>
      <c r="L37"/>
      <c r="M37"/>
      <c r="N37"/>
      <c r="O37"/>
      <c r="P37"/>
      <c r="Q37"/>
      <c r="R37"/>
      <c r="S37"/>
      <c r="T37"/>
    </row>
    <row r="38" spans="2:20" x14ac:dyDescent="0.25">
      <c r="B38"/>
      <c r="C38"/>
      <c r="D38"/>
      <c r="E38"/>
      <c r="F38"/>
      <c r="G38"/>
      <c r="H38"/>
      <c r="I38"/>
      <c r="J38"/>
      <c r="K38"/>
      <c r="L38"/>
      <c r="M38"/>
      <c r="N38"/>
      <c r="O38"/>
      <c r="P38"/>
      <c r="Q38"/>
      <c r="R38"/>
      <c r="S38"/>
      <c r="T38"/>
    </row>
    <row r="39" spans="2:20" x14ac:dyDescent="0.25">
      <c r="B39"/>
      <c r="C39"/>
      <c r="D39"/>
      <c r="E39"/>
      <c r="F39"/>
      <c r="G39"/>
      <c r="H39"/>
      <c r="I39"/>
      <c r="J39"/>
      <c r="K39"/>
      <c r="L39"/>
      <c r="M39"/>
      <c r="N39"/>
      <c r="O39"/>
      <c r="P39"/>
      <c r="Q39"/>
      <c r="R39"/>
      <c r="S39"/>
      <c r="T39"/>
    </row>
    <row r="40" spans="2:20" x14ac:dyDescent="0.25">
      <c r="B40"/>
      <c r="C40"/>
      <c r="D40"/>
      <c r="E40"/>
      <c r="F40"/>
      <c r="G40"/>
      <c r="H40"/>
      <c r="I40"/>
      <c r="J40"/>
      <c r="K40"/>
      <c r="L40"/>
      <c r="M40"/>
      <c r="N40"/>
      <c r="O40"/>
      <c r="P40"/>
      <c r="Q40"/>
      <c r="R40"/>
      <c r="S40"/>
      <c r="T40"/>
    </row>
    <row r="41" spans="2:20" x14ac:dyDescent="0.25">
      <c r="B41"/>
      <c r="C41"/>
      <c r="D41"/>
      <c r="E41"/>
      <c r="F41"/>
      <c r="G41"/>
      <c r="H41"/>
      <c r="I41"/>
      <c r="J41"/>
      <c r="K41"/>
      <c r="L41"/>
      <c r="M41"/>
      <c r="N41"/>
      <c r="O41"/>
      <c r="P41"/>
      <c r="Q41"/>
      <c r="R41"/>
      <c r="S41"/>
      <c r="T41"/>
    </row>
    <row r="42" spans="2:20" x14ac:dyDescent="0.25">
      <c r="B42"/>
      <c r="C42"/>
      <c r="D42"/>
      <c r="E42"/>
      <c r="F42"/>
      <c r="G42"/>
      <c r="H42"/>
      <c r="I42"/>
      <c r="J42"/>
      <c r="K42"/>
      <c r="L42"/>
      <c r="M42"/>
      <c r="N42"/>
      <c r="O42"/>
      <c r="P42"/>
      <c r="Q42"/>
      <c r="R42"/>
      <c r="S42"/>
      <c r="T42"/>
    </row>
    <row r="43" spans="2:20" x14ac:dyDescent="0.25">
      <c r="B43"/>
      <c r="C43"/>
      <c r="D43"/>
      <c r="E43"/>
      <c r="F43"/>
      <c r="G43"/>
      <c r="H43"/>
      <c r="I43"/>
      <c r="J43"/>
      <c r="K43"/>
      <c r="L43"/>
      <c r="M43"/>
      <c r="N43"/>
      <c r="O43"/>
      <c r="P43"/>
      <c r="Q43"/>
      <c r="R43"/>
      <c r="S43"/>
      <c r="T43"/>
    </row>
    <row r="44" spans="2:20" x14ac:dyDescent="0.25">
      <c r="B44"/>
      <c r="C44"/>
      <c r="D44"/>
      <c r="E44"/>
      <c r="F44"/>
      <c r="G44"/>
      <c r="H44"/>
      <c r="I44"/>
      <c r="J44"/>
      <c r="K44"/>
      <c r="L44"/>
      <c r="M44"/>
      <c r="N44"/>
      <c r="O44"/>
      <c r="P44"/>
      <c r="Q44"/>
      <c r="R44"/>
      <c r="S44"/>
      <c r="T44"/>
    </row>
    <row r="45" spans="2:20" x14ac:dyDescent="0.25">
      <c r="B45"/>
      <c r="C45"/>
      <c r="D45"/>
      <c r="E45"/>
      <c r="F45"/>
      <c r="G45"/>
      <c r="H45"/>
      <c r="I45"/>
      <c r="J45"/>
      <c r="K45"/>
      <c r="L45"/>
      <c r="M45"/>
      <c r="N45"/>
      <c r="O45"/>
      <c r="P45"/>
      <c r="Q45"/>
      <c r="R45"/>
      <c r="S45"/>
      <c r="T45"/>
    </row>
    <row r="46" spans="2:20" ht="15" customHeight="1" x14ac:dyDescent="0.25">
      <c r="B46"/>
      <c r="C46"/>
      <c r="D46"/>
      <c r="E46"/>
      <c r="F46"/>
      <c r="G46"/>
      <c r="H46"/>
      <c r="I46"/>
      <c r="J46"/>
      <c r="K46"/>
      <c r="L46"/>
      <c r="M46"/>
      <c r="N46"/>
      <c r="O46"/>
      <c r="P46"/>
      <c r="Q46"/>
      <c r="R46"/>
      <c r="S46"/>
      <c r="T46"/>
    </row>
    <row r="47" spans="2:20" ht="15" customHeight="1" x14ac:dyDescent="0.25">
      <c r="B47"/>
      <c r="C47"/>
      <c r="D47"/>
      <c r="E47"/>
      <c r="F47"/>
      <c r="G47"/>
      <c r="H47"/>
      <c r="I47"/>
      <c r="J47"/>
      <c r="K47"/>
      <c r="L47"/>
      <c r="M47"/>
      <c r="N47"/>
      <c r="O47"/>
      <c r="P47"/>
      <c r="Q47"/>
      <c r="R47"/>
      <c r="S47"/>
      <c r="T47"/>
    </row>
    <row r="48" spans="2:20" x14ac:dyDescent="0.25">
      <c r="B48"/>
      <c r="C48"/>
      <c r="D48"/>
      <c r="E48"/>
      <c r="F48"/>
      <c r="G48"/>
      <c r="H48"/>
      <c r="I48"/>
      <c r="J48"/>
      <c r="K48"/>
      <c r="L48"/>
      <c r="M48"/>
      <c r="N48"/>
      <c r="O48"/>
      <c r="P48"/>
      <c r="Q48"/>
      <c r="R48"/>
      <c r="S48"/>
      <c r="T48"/>
    </row>
    <row r="49" spans="2:20" x14ac:dyDescent="0.25">
      <c r="B49"/>
      <c r="C49"/>
      <c r="D49"/>
      <c r="E49"/>
      <c r="F49"/>
      <c r="G49"/>
      <c r="H49"/>
      <c r="I49"/>
      <c r="J49"/>
      <c r="K49"/>
      <c r="L49"/>
      <c r="M49"/>
      <c r="N49"/>
      <c r="O49"/>
      <c r="P49"/>
      <c r="Q49"/>
      <c r="R49"/>
      <c r="S49"/>
      <c r="T49"/>
    </row>
    <row r="50" spans="2:20" ht="17.25" x14ac:dyDescent="0.3">
      <c r="B50"/>
      <c r="C50"/>
      <c r="D50" s="110"/>
      <c r="E50"/>
      <c r="F50"/>
      <c r="G50"/>
      <c r="H50"/>
      <c r="I50"/>
      <c r="J50"/>
      <c r="K50"/>
      <c r="L50"/>
      <c r="M50"/>
      <c r="N50"/>
      <c r="O50"/>
      <c r="P50"/>
      <c r="Q50"/>
      <c r="R50"/>
      <c r="S50"/>
      <c r="T50"/>
    </row>
    <row r="51" spans="2:20" ht="18" thickBot="1" x14ac:dyDescent="0.35">
      <c r="B51"/>
      <c r="C51" s="45"/>
      <c r="D51" s="46"/>
      <c r="E51" s="47"/>
      <c r="F51" s="48"/>
      <c r="G51" s="45"/>
      <c r="H51" s="46"/>
      <c r="I51" s="47"/>
      <c r="J51"/>
      <c r="K51"/>
      <c r="L51"/>
      <c r="M51"/>
      <c r="N51"/>
      <c r="O51"/>
      <c r="P51"/>
      <c r="Q51"/>
      <c r="R51"/>
      <c r="S51"/>
      <c r="T51"/>
    </row>
    <row r="52" spans="2:20" x14ac:dyDescent="0.25">
      <c r="B52"/>
      <c r="C52" s="49"/>
      <c r="D52" s="49"/>
      <c r="E52" s="49"/>
      <c r="F52" s="50"/>
      <c r="G52" s="49"/>
      <c r="H52" s="49"/>
      <c r="I52" s="49"/>
      <c r="J52"/>
      <c r="K52"/>
      <c r="L52"/>
      <c r="M52"/>
      <c r="N52"/>
      <c r="O52"/>
      <c r="P52"/>
      <c r="Q52"/>
      <c r="R52"/>
      <c r="S52"/>
      <c r="T52"/>
    </row>
    <row r="53" spans="2:20" ht="17.25" x14ac:dyDescent="0.3">
      <c r="B53"/>
      <c r="C53" s="110"/>
      <c r="E53"/>
      <c r="F53"/>
      <c r="G53"/>
      <c r="H53"/>
      <c r="I53"/>
      <c r="J53"/>
      <c r="K53"/>
      <c r="L53"/>
      <c r="M53"/>
      <c r="N53"/>
      <c r="O53"/>
      <c r="P53"/>
      <c r="Q53"/>
      <c r="R53"/>
      <c r="S53"/>
      <c r="T53"/>
    </row>
    <row r="54" spans="2:20" ht="17.25" x14ac:dyDescent="0.3">
      <c r="B54"/>
      <c r="C54"/>
      <c r="D54" s="110"/>
      <c r="E54"/>
      <c r="F54"/>
      <c r="G54"/>
      <c r="H54"/>
      <c r="I54"/>
      <c r="J54"/>
      <c r="K54"/>
      <c r="L54"/>
      <c r="M54"/>
      <c r="N54"/>
      <c r="O54"/>
      <c r="P54"/>
      <c r="Q54"/>
      <c r="R54"/>
      <c r="S54"/>
      <c r="T54"/>
    </row>
    <row r="55" spans="2:20" ht="17.25" x14ac:dyDescent="0.3">
      <c r="B55" s="42"/>
      <c r="C55"/>
      <c r="D55" s="110"/>
      <c r="E55"/>
      <c r="F55"/>
      <c r="G55"/>
      <c r="H55"/>
      <c r="I55"/>
      <c r="J55"/>
      <c r="K55"/>
      <c r="L55"/>
      <c r="M55"/>
      <c r="N55"/>
      <c r="O55"/>
      <c r="P55"/>
      <c r="Q55"/>
      <c r="R55"/>
      <c r="S55"/>
      <c r="T55"/>
    </row>
    <row r="56" spans="2:20" ht="18" thickBot="1" x14ac:dyDescent="0.35">
      <c r="B56"/>
      <c r="C56" s="45"/>
      <c r="D56" s="46"/>
      <c r="E56" s="47"/>
      <c r="F56" s="48"/>
      <c r="G56" s="45"/>
      <c r="H56" s="46"/>
      <c r="I56" s="47"/>
      <c r="J56"/>
      <c r="K56"/>
      <c r="L56"/>
      <c r="M56"/>
      <c r="N56"/>
      <c r="O56"/>
      <c r="P56"/>
      <c r="Q56"/>
      <c r="R56"/>
      <c r="S56"/>
      <c r="T56"/>
    </row>
    <row r="57" spans="2:20" x14ac:dyDescent="0.25">
      <c r="C57" s="49"/>
      <c r="D57" s="49"/>
      <c r="E57" s="49"/>
      <c r="F57" s="50"/>
      <c r="G57" s="49"/>
      <c r="H57" s="49"/>
      <c r="I57" s="49"/>
      <c r="J57"/>
      <c r="K57"/>
      <c r="L57"/>
      <c r="M57"/>
      <c r="N57"/>
      <c r="O57"/>
      <c r="P57"/>
      <c r="Q57"/>
      <c r="R57"/>
      <c r="S57"/>
      <c r="T57"/>
    </row>
    <row r="58" spans="2:20" ht="17.25" x14ac:dyDescent="0.3">
      <c r="C58" s="112"/>
      <c r="D58" s="110"/>
    </row>
    <row r="59" spans="2:20" ht="15.75" x14ac:dyDescent="0.25">
      <c r="D59" s="112"/>
    </row>
    <row r="61" spans="2:20" ht="17.25" x14ac:dyDescent="0.3">
      <c r="C61" s="110"/>
      <c r="J61" s="3"/>
    </row>
    <row r="62" spans="2:20" ht="18" thickBot="1" x14ac:dyDescent="0.35">
      <c r="B62" s="8"/>
      <c r="C62" s="27"/>
      <c r="D62" s="27"/>
      <c r="E62" s="28"/>
      <c r="F62" s="29"/>
      <c r="G62" s="30"/>
      <c r="H62" s="8"/>
      <c r="I62" s="8"/>
      <c r="J62" s="8"/>
    </row>
    <row r="63" spans="2:20" ht="17.25" x14ac:dyDescent="0.3">
      <c r="B63" s="10"/>
      <c r="C63" s="14"/>
      <c r="D63" s="14"/>
      <c r="E63" s="18"/>
      <c r="F63" s="33"/>
      <c r="G63" s="23"/>
      <c r="H63" s="13"/>
      <c r="I63" s="13"/>
      <c r="J63" s="13"/>
    </row>
  </sheetData>
  <mergeCells count="1">
    <mergeCell ref="B2:I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5" sqref="H15"/>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BFB9390BD88B498D0EF4B57493AB01" ma:contentTypeVersion="9" ma:contentTypeDescription="Create a new document." ma:contentTypeScope="" ma:versionID="f4ddb57cc181ab1d8881fb22ddaa8793">
  <xsd:schema xmlns:xsd="http://www.w3.org/2001/XMLSchema" xmlns:xs="http://www.w3.org/2001/XMLSchema" xmlns:p="http://schemas.microsoft.com/office/2006/metadata/properties" xmlns:ns2="3d450ae0-81a7-4746-bcda-95c74bf2224c" targetNamespace="http://schemas.microsoft.com/office/2006/metadata/properties" ma:root="true" ma:fieldsID="0c1779bfa9731ca10826d80cba48b991" ns2:_="">
    <xsd:import namespace="3d450ae0-81a7-4746-bcda-95c74bf222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450ae0-81a7-4746-bcda-95c74bf222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5346DF-B4AB-43D8-A806-2C7612B74B3F}">
  <ds:schemaRefs>
    <ds:schemaRef ds:uri="http://schemas.microsoft.com/sharepoint/v3/contenttype/forms"/>
  </ds:schemaRefs>
</ds:datastoreItem>
</file>

<file path=customXml/itemProps2.xml><?xml version="1.0" encoding="utf-8"?>
<ds:datastoreItem xmlns:ds="http://schemas.openxmlformats.org/officeDocument/2006/customXml" ds:itemID="{A7A324E5-6655-41D1-AA9A-06845E999C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450ae0-81a7-4746-bcda-95c74bf222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8318FA-7A9A-4578-8A28-7B728ABFC7C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1a</vt:lpstr>
      <vt:lpstr>Task 1b</vt:lpstr>
      <vt:lpstr>Task 2a</vt:lpstr>
      <vt:lpstr>Task 2b</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Choi, Daun</cp:lastModifiedBy>
  <dcterms:created xsi:type="dcterms:W3CDTF">2021-05-06T10:52:49Z</dcterms:created>
  <dcterms:modified xsi:type="dcterms:W3CDTF">2023-06-05T13:22:02Z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0x010100CABFB9390BD88B498D0EF4B57493AB01</vt:lpwstr>
  </property>
</Properties>
</file>