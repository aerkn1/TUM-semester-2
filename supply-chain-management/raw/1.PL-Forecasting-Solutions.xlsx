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autoCompressPictures="0"/>
  <mc:AlternateContent xmlns:mc="http://schemas.openxmlformats.org/markup-compatibility/2006">
    <mc:Choice Requires="x15">
      <x15ac:absPath xmlns:x15ac="http://schemas.microsoft.com/office/spreadsheetml/2010/11/ac" url="\\nas.ads.mwn.de\ge74meb\TUM-PC\Desktop\Works\01_P&amp;L\SS24\Exercise\1. Forecasting\"/>
    </mc:Choice>
  </mc:AlternateContent>
  <xr:revisionPtr revIDLastSave="0" documentId="13_ncr:1_{4761BC6B-2427-44E2-8E59-8F98C20B15C5}" xr6:coauthVersionLast="47" xr6:coauthVersionMax="47" xr10:uidLastSave="{00000000-0000-0000-0000-000000000000}"/>
  <bookViews>
    <workbookView xWindow="-120" yWindow="-120" windowWidth="29040" windowHeight="17520" tabRatio="722" activeTab="9" xr2:uid="{00000000-000D-0000-FFFF-FFFF00000000}"/>
  </bookViews>
  <sheets>
    <sheet name="Sheet1" sheetId="20" r:id="rId1"/>
    <sheet name="Task" sheetId="2" r:id="rId2"/>
    <sheet name="Naïve" sheetId="12" r:id="rId3"/>
    <sheet name="Naïve with Trend" sheetId="14" r:id="rId4"/>
    <sheet name="Naïve with Seasonality" sheetId="15" r:id="rId5"/>
    <sheet name="Moving Average" sheetId="16" r:id="rId6"/>
    <sheet name="Exponential Smoothing" sheetId="17" r:id="rId7"/>
    <sheet name="Linear Regression" sheetId="18" r:id="rId8"/>
    <sheet name="Comparision" sheetId="13" r:id="rId9"/>
    <sheet name="2026 &amp; 2027 Forecast" sheetId="19" r:id="rId10"/>
  </sheets>
  <definedNames>
    <definedName name="_xlnm.Print_Area" localSheetId="9">'2026 &amp; 2027 Forecast'!$B$1:$H$17</definedName>
    <definedName name="_xlnm.Print_Area" localSheetId="8">Comparision!$B$1:$I$11</definedName>
    <definedName name="_xlnm.Print_Area" localSheetId="6">'Exponential Smoothing'!$B$1:$H$17</definedName>
    <definedName name="_xlnm.Print_Area" localSheetId="7">'Linear Regression'!$B$1:$H$17</definedName>
    <definedName name="_xlnm.Print_Area" localSheetId="5">'Moving Average'!$B$1:$H$17</definedName>
    <definedName name="_xlnm.Print_Area" localSheetId="2">Naïve!$B$1:$H$17</definedName>
    <definedName name="_xlnm.Print_Area" localSheetId="4">'Naïve with Seasonality'!$B$1:$H$17</definedName>
    <definedName name="_xlnm.Print_Area" localSheetId="3">'Naïve with Trend'!$B$1:$H$17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R42" i="19" l="1"/>
  <c r="R43" i="19" s="1"/>
  <c r="R45" i="19" s="1"/>
  <c r="K66"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7" i="19"/>
  <c r="R44" i="19" l="1"/>
  <c r="G42" i="12" l="1"/>
  <c r="E9" i="16"/>
  <c r="E8" i="14"/>
  <c r="E7" i="12"/>
  <c r="R12" i="2"/>
  <c r="Q12" i="2"/>
  <c r="E7" i="17" l="1"/>
  <c r="E18" i="15" l="1"/>
  <c r="E8" i="17" l="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D65" i="19" l="1"/>
  <c r="F65" i="19" s="1"/>
  <c r="G65" i="19" s="1"/>
  <c r="H65" i="19" s="1"/>
  <c r="D64" i="19"/>
  <c r="F64" i="19" s="1"/>
  <c r="G64" i="19" s="1"/>
  <c r="H64" i="19" s="1"/>
  <c r="D63" i="19"/>
  <c r="F63" i="19" s="1"/>
  <c r="G63" i="19" s="1"/>
  <c r="H63" i="19" s="1"/>
  <c r="D62" i="19"/>
  <c r="F62" i="19" s="1"/>
  <c r="G62" i="19" s="1"/>
  <c r="H62" i="19" s="1"/>
  <c r="D61" i="19"/>
  <c r="F61" i="19" s="1"/>
  <c r="G61" i="19" s="1"/>
  <c r="H61" i="19" s="1"/>
  <c r="D60" i="19"/>
  <c r="F60" i="19" s="1"/>
  <c r="G60" i="19" s="1"/>
  <c r="H60" i="19" s="1"/>
  <c r="D59" i="19"/>
  <c r="F59" i="19" s="1"/>
  <c r="G59" i="19" s="1"/>
  <c r="H59" i="19" s="1"/>
  <c r="D58" i="19"/>
  <c r="F58" i="19" s="1"/>
  <c r="G58" i="19" s="1"/>
  <c r="H58" i="19" s="1"/>
  <c r="D57" i="19"/>
  <c r="F57" i="19" s="1"/>
  <c r="G57" i="19" s="1"/>
  <c r="H57" i="19" s="1"/>
  <c r="D56" i="19"/>
  <c r="F56" i="19" s="1"/>
  <c r="G56" i="19" s="1"/>
  <c r="H56" i="19" s="1"/>
  <c r="D55" i="19"/>
  <c r="F55" i="19" s="1"/>
  <c r="G55" i="19" s="1"/>
  <c r="H55" i="19" s="1"/>
  <c r="D54" i="19"/>
  <c r="F54" i="19" s="1"/>
  <c r="G54" i="19" s="1"/>
  <c r="H54" i="19" s="1"/>
  <c r="D53" i="19"/>
  <c r="F53" i="19" s="1"/>
  <c r="G53" i="19" s="1"/>
  <c r="H53" i="19" s="1"/>
  <c r="D52" i="19"/>
  <c r="F52" i="19" s="1"/>
  <c r="G52" i="19" s="1"/>
  <c r="H52" i="19" s="1"/>
  <c r="D51" i="19"/>
  <c r="F51" i="19" s="1"/>
  <c r="G51" i="19" s="1"/>
  <c r="H51" i="19" s="1"/>
  <c r="D50" i="19"/>
  <c r="F50" i="19" s="1"/>
  <c r="G50" i="19" s="1"/>
  <c r="H50" i="19" s="1"/>
  <c r="D49" i="19"/>
  <c r="F49" i="19" s="1"/>
  <c r="G49" i="19" s="1"/>
  <c r="H49" i="19" s="1"/>
  <c r="D48" i="19"/>
  <c r="F48" i="19" s="1"/>
  <c r="G48" i="19" s="1"/>
  <c r="H48" i="19" s="1"/>
  <c r="D47" i="19"/>
  <c r="F47" i="19" s="1"/>
  <c r="G47" i="19" s="1"/>
  <c r="H47" i="19" s="1"/>
  <c r="D46" i="19"/>
  <c r="F46" i="19" s="1"/>
  <c r="G46" i="19" s="1"/>
  <c r="H46" i="19" s="1"/>
  <c r="D45" i="19"/>
  <c r="F45" i="19" s="1"/>
  <c r="G45" i="19" s="1"/>
  <c r="H45" i="19" s="1"/>
  <c r="D44" i="19"/>
  <c r="F44" i="19" s="1"/>
  <c r="G44" i="19" s="1"/>
  <c r="H44" i="19" s="1"/>
  <c r="D43" i="19"/>
  <c r="F43" i="19" s="1"/>
  <c r="G43" i="19" s="1"/>
  <c r="H43" i="19" s="1"/>
  <c r="D42" i="19"/>
  <c r="F42" i="19" s="1"/>
  <c r="G42" i="19" s="1"/>
  <c r="H42" i="19" s="1"/>
  <c r="D41" i="19" l="1"/>
  <c r="F41" i="19" s="1"/>
  <c r="G41" i="19" s="1"/>
  <c r="H41" i="19" s="1"/>
  <c r="D40" i="19"/>
  <c r="F40" i="19" s="1"/>
  <c r="G40" i="19" s="1"/>
  <c r="H40" i="19" s="1"/>
  <c r="D39" i="19"/>
  <c r="F39" i="19" s="1"/>
  <c r="G39" i="19" s="1"/>
  <c r="H39" i="19" s="1"/>
  <c r="D38" i="19"/>
  <c r="F38" i="19" s="1"/>
  <c r="G38" i="19" s="1"/>
  <c r="H38" i="19" s="1"/>
  <c r="D37" i="19"/>
  <c r="F37" i="19" s="1"/>
  <c r="G37" i="19" s="1"/>
  <c r="H37" i="19" s="1"/>
  <c r="D36" i="19"/>
  <c r="F36" i="19" s="1"/>
  <c r="G36" i="19" s="1"/>
  <c r="H36" i="19" s="1"/>
  <c r="D35" i="19"/>
  <c r="F35" i="19" s="1"/>
  <c r="G35" i="19" s="1"/>
  <c r="H35" i="19" s="1"/>
  <c r="D34" i="19"/>
  <c r="F34" i="19" s="1"/>
  <c r="G34" i="19" s="1"/>
  <c r="H34" i="19" s="1"/>
  <c r="D33" i="19"/>
  <c r="F33" i="19" s="1"/>
  <c r="G33" i="19" s="1"/>
  <c r="H33" i="19" s="1"/>
  <c r="D32" i="19"/>
  <c r="F32" i="19" s="1"/>
  <c r="G32" i="19" s="1"/>
  <c r="H32" i="19" s="1"/>
  <c r="D31" i="19"/>
  <c r="F31" i="19" s="1"/>
  <c r="G31" i="19" s="1"/>
  <c r="H31" i="19" s="1"/>
  <c r="D30" i="19"/>
  <c r="F30" i="19" s="1"/>
  <c r="G30" i="19" s="1"/>
  <c r="H30" i="19" s="1"/>
  <c r="D29" i="19"/>
  <c r="F29" i="19" s="1"/>
  <c r="G29" i="19" s="1"/>
  <c r="H29" i="19" s="1"/>
  <c r="D28" i="19"/>
  <c r="F28" i="19" s="1"/>
  <c r="G28" i="19" s="1"/>
  <c r="H28" i="19" s="1"/>
  <c r="D27" i="19"/>
  <c r="F27" i="19" s="1"/>
  <c r="G27" i="19" s="1"/>
  <c r="H27" i="19" s="1"/>
  <c r="D26" i="19"/>
  <c r="F26" i="19" s="1"/>
  <c r="G26" i="19" s="1"/>
  <c r="H26" i="19" s="1"/>
  <c r="D25" i="19"/>
  <c r="F25" i="19" s="1"/>
  <c r="G25" i="19" s="1"/>
  <c r="H25" i="19" s="1"/>
  <c r="D24" i="19"/>
  <c r="F24" i="19" s="1"/>
  <c r="G24" i="19" s="1"/>
  <c r="H24" i="19" s="1"/>
  <c r="D23" i="19"/>
  <c r="F23" i="19" s="1"/>
  <c r="G23" i="19" s="1"/>
  <c r="H23" i="19" s="1"/>
  <c r="D22" i="19"/>
  <c r="F22" i="19" s="1"/>
  <c r="G22" i="19" s="1"/>
  <c r="H22" i="19" s="1"/>
  <c r="D21" i="19"/>
  <c r="F21" i="19" s="1"/>
  <c r="G21" i="19" s="1"/>
  <c r="H21" i="19" s="1"/>
  <c r="D20" i="19"/>
  <c r="F20" i="19" s="1"/>
  <c r="G20" i="19" s="1"/>
  <c r="H20" i="19" s="1"/>
  <c r="D19" i="19"/>
  <c r="F19" i="19" s="1"/>
  <c r="G19" i="19" s="1"/>
  <c r="H19" i="19" s="1"/>
  <c r="D18" i="19"/>
  <c r="F18" i="19" s="1"/>
  <c r="G18" i="19" s="1"/>
  <c r="H18" i="19" s="1"/>
  <c r="D17" i="19"/>
  <c r="F17" i="19" s="1"/>
  <c r="G17" i="19" s="1"/>
  <c r="H17" i="19" s="1"/>
  <c r="D16" i="19"/>
  <c r="F16" i="19" s="1"/>
  <c r="G16" i="19" s="1"/>
  <c r="H16" i="19" s="1"/>
  <c r="D15" i="19"/>
  <c r="F15" i="19" s="1"/>
  <c r="G15" i="19" s="1"/>
  <c r="H15" i="19" s="1"/>
  <c r="D14" i="19"/>
  <c r="F14" i="19" s="1"/>
  <c r="G14" i="19" s="1"/>
  <c r="H14" i="19" s="1"/>
  <c r="D13" i="19"/>
  <c r="F13" i="19" s="1"/>
  <c r="G13" i="19" s="1"/>
  <c r="H13" i="19" s="1"/>
  <c r="D12" i="19"/>
  <c r="D11" i="19"/>
  <c r="F11" i="19" s="1"/>
  <c r="G11" i="19" s="1"/>
  <c r="H11" i="19" s="1"/>
  <c r="D10" i="19"/>
  <c r="F10" i="19" s="1"/>
  <c r="G10" i="19" s="1"/>
  <c r="H10" i="19" s="1"/>
  <c r="D9" i="19"/>
  <c r="F9" i="19" s="1"/>
  <c r="G9" i="19" s="1"/>
  <c r="H9" i="19" s="1"/>
  <c r="D8" i="19"/>
  <c r="F8" i="19" s="1"/>
  <c r="G8" i="19" s="1"/>
  <c r="H8" i="19" s="1"/>
  <c r="D7" i="19"/>
  <c r="F7" i="19" s="1"/>
  <c r="M8" i="18"/>
  <c r="M7" i="18"/>
  <c r="E6" i="18" l="1"/>
  <c r="E18" i="18"/>
  <c r="E26" i="18"/>
  <c r="E34" i="18"/>
  <c r="E7" i="18"/>
  <c r="E15" i="18"/>
  <c r="E19" i="18"/>
  <c r="E27" i="18"/>
  <c r="E35" i="18"/>
  <c r="E8" i="18"/>
  <c r="E16" i="18"/>
  <c r="E20" i="18"/>
  <c r="E28" i="18"/>
  <c r="E36" i="18"/>
  <c r="E9" i="18"/>
  <c r="E17" i="18"/>
  <c r="E21" i="18"/>
  <c r="E29" i="18"/>
  <c r="E37" i="18"/>
  <c r="E10" i="18"/>
  <c r="E22" i="18"/>
  <c r="E38" i="18"/>
  <c r="E11" i="18"/>
  <c r="E23" i="18"/>
  <c r="E31" i="18"/>
  <c r="E39" i="18"/>
  <c r="E12" i="18"/>
  <c r="E24" i="18"/>
  <c r="E40" i="18"/>
  <c r="E25" i="18"/>
  <c r="E41" i="18"/>
  <c r="E30" i="18"/>
  <c r="E32" i="18"/>
  <c r="E13" i="18"/>
  <c r="E33" i="18"/>
  <c r="E14" i="18"/>
  <c r="G7" i="19"/>
  <c r="H7" i="19" s="1"/>
  <c r="F12" i="19"/>
  <c r="G12" i="19" s="1"/>
  <c r="H12" i="19" s="1"/>
  <c r="F66" i="19" l="1"/>
  <c r="R8" i="19"/>
  <c r="R41" i="19"/>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F9" i="16"/>
  <c r="G9" i="16" s="1"/>
  <c r="F6" i="17"/>
  <c r="G6" i="17" s="1"/>
  <c r="H6" i="17" s="1"/>
  <c r="H9" i="16" l="1"/>
  <c r="R9" i="19"/>
  <c r="F7" i="17"/>
  <c r="G7" i="17" s="1"/>
  <c r="F41" i="16"/>
  <c r="G41" i="16" s="1"/>
  <c r="F41" i="15"/>
  <c r="G41" i="15" s="1"/>
  <c r="H41" i="15" s="1"/>
  <c r="F28" i="16"/>
  <c r="G28" i="16" s="1"/>
  <c r="H28" i="16" s="1"/>
  <c r="G14" i="16"/>
  <c r="H14" i="16" s="1"/>
  <c r="G16" i="16"/>
  <c r="H16" i="16" s="1"/>
  <c r="F10" i="16"/>
  <c r="G10" i="16" s="1"/>
  <c r="H10" i="16" s="1"/>
  <c r="F11" i="16"/>
  <c r="G11" i="16" s="1"/>
  <c r="H11" i="16" s="1"/>
  <c r="F12" i="16"/>
  <c r="G12" i="16" s="1"/>
  <c r="H12" i="16" s="1"/>
  <c r="F13" i="16"/>
  <c r="G13" i="16" s="1"/>
  <c r="H13" i="16" s="1"/>
  <c r="F14" i="16"/>
  <c r="F15" i="16"/>
  <c r="G15" i="16" s="1"/>
  <c r="H15" i="16" s="1"/>
  <c r="F16" i="16"/>
  <c r="F17" i="16"/>
  <c r="G17" i="16" s="1"/>
  <c r="H17" i="16" s="1"/>
  <c r="F18" i="16"/>
  <c r="G18" i="16" s="1"/>
  <c r="F24" i="16"/>
  <c r="G24" i="16" s="1"/>
  <c r="H24" i="16" s="1"/>
  <c r="F26" i="16"/>
  <c r="G26" i="16" s="1"/>
  <c r="H26" i="16" s="1"/>
  <c r="F27" i="16"/>
  <c r="G27" i="16" s="1"/>
  <c r="H27" i="16" s="1"/>
  <c r="F32" i="16"/>
  <c r="G32" i="16" s="1"/>
  <c r="H32" i="16" s="1"/>
  <c r="F34" i="16"/>
  <c r="G34" i="16" s="1"/>
  <c r="H34" i="16" s="1"/>
  <c r="F35" i="16"/>
  <c r="G35" i="16" s="1"/>
  <c r="H35" i="16" s="1"/>
  <c r="F40" i="16"/>
  <c r="G40" i="16" s="1"/>
  <c r="H40" i="16" s="1"/>
  <c r="F19" i="16"/>
  <c r="G19" i="16" s="1"/>
  <c r="H19" i="16" s="1"/>
  <c r="F25" i="16"/>
  <c r="G25" i="16" s="1"/>
  <c r="H25" i="16" s="1"/>
  <c r="F33" i="16"/>
  <c r="G33" i="16" s="1"/>
  <c r="H33" i="16" s="1"/>
  <c r="F21" i="16"/>
  <c r="G21" i="16" s="1"/>
  <c r="H21" i="16" s="1"/>
  <c r="F22" i="16"/>
  <c r="G22" i="16" s="1"/>
  <c r="H22" i="16" s="1"/>
  <c r="F29" i="16"/>
  <c r="G29" i="16" s="1"/>
  <c r="H29" i="16" s="1"/>
  <c r="F30" i="16"/>
  <c r="G30" i="16" s="1"/>
  <c r="H30" i="16" s="1"/>
  <c r="F36" i="16"/>
  <c r="G36" i="16" s="1"/>
  <c r="H36" i="16" s="1"/>
  <c r="F37" i="16"/>
  <c r="G37" i="16" s="1"/>
  <c r="H37" i="16" s="1"/>
  <c r="F38" i="16"/>
  <c r="G38" i="16" s="1"/>
  <c r="H38" i="16" s="1"/>
  <c r="F39" i="16"/>
  <c r="G39" i="16" s="1"/>
  <c r="H39" i="16" s="1"/>
  <c r="F31" i="16"/>
  <c r="G31" i="16" s="1"/>
  <c r="H31" i="16" s="1"/>
  <c r="F23" i="16"/>
  <c r="G23" i="16" s="1"/>
  <c r="H23" i="16" s="1"/>
  <c r="F20" i="16"/>
  <c r="G20" i="16" s="1"/>
  <c r="H20" i="16" s="1"/>
  <c r="E19" i="15"/>
  <c r="F19" i="15" s="1"/>
  <c r="G19" i="15" s="1"/>
  <c r="H19" i="15" s="1"/>
  <c r="E20" i="15"/>
  <c r="F20" i="15" s="1"/>
  <c r="G20" i="15" s="1"/>
  <c r="H20" i="15" s="1"/>
  <c r="E21" i="15"/>
  <c r="F21" i="15" s="1"/>
  <c r="G21" i="15" s="1"/>
  <c r="H21" i="15" s="1"/>
  <c r="E22" i="15"/>
  <c r="F22" i="15" s="1"/>
  <c r="G22" i="15" s="1"/>
  <c r="H22" i="15" s="1"/>
  <c r="E23" i="15"/>
  <c r="E24" i="15"/>
  <c r="E25" i="15"/>
  <c r="E26" i="15"/>
  <c r="F26" i="15" s="1"/>
  <c r="G26" i="15" s="1"/>
  <c r="H26" i="15" s="1"/>
  <c r="E27" i="15"/>
  <c r="F27" i="15" s="1"/>
  <c r="G27" i="15" s="1"/>
  <c r="H27" i="15" s="1"/>
  <c r="E28" i="15"/>
  <c r="E29" i="15"/>
  <c r="F29" i="15" s="1"/>
  <c r="G29" i="15" s="1"/>
  <c r="H29" i="15" s="1"/>
  <c r="E30" i="15"/>
  <c r="F30" i="15" s="1"/>
  <c r="G30" i="15" s="1"/>
  <c r="H30" i="15" s="1"/>
  <c r="E31" i="15"/>
  <c r="E32" i="15"/>
  <c r="F32" i="15" s="1"/>
  <c r="G32" i="15" s="1"/>
  <c r="H32" i="15" s="1"/>
  <c r="E33" i="15"/>
  <c r="E34" i="15"/>
  <c r="E35" i="15"/>
  <c r="E36" i="15"/>
  <c r="F36" i="15" s="1"/>
  <c r="G36" i="15" s="1"/>
  <c r="H36" i="15" s="1"/>
  <c r="E37" i="15"/>
  <c r="F37" i="15" s="1"/>
  <c r="G37" i="15" s="1"/>
  <c r="H37" i="15" s="1"/>
  <c r="E38" i="15"/>
  <c r="F38" i="15" s="1"/>
  <c r="G38" i="15" s="1"/>
  <c r="H38" i="15" s="1"/>
  <c r="E39" i="15"/>
  <c r="E40" i="15"/>
  <c r="E41" i="15"/>
  <c r="F40" i="15"/>
  <c r="G40" i="15" s="1"/>
  <c r="H40" i="15" s="1"/>
  <c r="F39" i="15"/>
  <c r="G39" i="15" s="1"/>
  <c r="H39" i="15" s="1"/>
  <c r="F35" i="15"/>
  <c r="G35" i="15" s="1"/>
  <c r="H35" i="15" s="1"/>
  <c r="F34" i="15"/>
  <c r="G34" i="15" s="1"/>
  <c r="H34" i="15" s="1"/>
  <c r="F33" i="15"/>
  <c r="G33" i="15" s="1"/>
  <c r="H33" i="15" s="1"/>
  <c r="F31" i="15"/>
  <c r="G31" i="15" s="1"/>
  <c r="H31" i="15" s="1"/>
  <c r="F28" i="15"/>
  <c r="G28" i="15" s="1"/>
  <c r="H28" i="15" s="1"/>
  <c r="F25" i="15"/>
  <c r="G25" i="15" s="1"/>
  <c r="H25" i="15" s="1"/>
  <c r="F24" i="15"/>
  <c r="G24" i="15" s="1"/>
  <c r="H24" i="15" s="1"/>
  <c r="F23" i="15"/>
  <c r="G23" i="15" s="1"/>
  <c r="H23" i="15" s="1"/>
  <c r="F18" i="15"/>
  <c r="E9" i="14"/>
  <c r="E10" i="14"/>
  <c r="E11" i="14"/>
  <c r="F11" i="14" s="1"/>
  <c r="G11" i="14" s="1"/>
  <c r="H11" i="14" s="1"/>
  <c r="E12" i="14"/>
  <c r="F12" i="14" s="1"/>
  <c r="G12" i="14" s="1"/>
  <c r="H12" i="14" s="1"/>
  <c r="E13" i="14"/>
  <c r="E14" i="14"/>
  <c r="F14" i="14" s="1"/>
  <c r="G14" i="14" s="1"/>
  <c r="H14" i="14" s="1"/>
  <c r="E15" i="14"/>
  <c r="E16" i="14"/>
  <c r="F16" i="14" s="1"/>
  <c r="G16" i="14" s="1"/>
  <c r="H16" i="14" s="1"/>
  <c r="E17" i="14"/>
  <c r="E18" i="14"/>
  <c r="E19" i="14"/>
  <c r="F19" i="14" s="1"/>
  <c r="G19" i="14" s="1"/>
  <c r="H19" i="14" s="1"/>
  <c r="E20" i="14"/>
  <c r="F20" i="14" s="1"/>
  <c r="G20" i="14" s="1"/>
  <c r="H20" i="14" s="1"/>
  <c r="E21" i="14"/>
  <c r="E22" i="14"/>
  <c r="F22" i="14" s="1"/>
  <c r="G22" i="14" s="1"/>
  <c r="H22" i="14" s="1"/>
  <c r="E23" i="14"/>
  <c r="E24" i="14"/>
  <c r="F24" i="14" s="1"/>
  <c r="G24" i="14" s="1"/>
  <c r="H24" i="14" s="1"/>
  <c r="E25" i="14"/>
  <c r="F25" i="14" s="1"/>
  <c r="G25" i="14" s="1"/>
  <c r="H25" i="14" s="1"/>
  <c r="E26" i="14"/>
  <c r="E27" i="14"/>
  <c r="F27" i="14" s="1"/>
  <c r="G27" i="14" s="1"/>
  <c r="H27" i="14" s="1"/>
  <c r="E28" i="14"/>
  <c r="F28" i="14" s="1"/>
  <c r="G28" i="14" s="1"/>
  <c r="H28" i="14" s="1"/>
  <c r="E29" i="14"/>
  <c r="E30" i="14"/>
  <c r="F30" i="14" s="1"/>
  <c r="G30" i="14" s="1"/>
  <c r="H30" i="14" s="1"/>
  <c r="E31" i="14"/>
  <c r="E32" i="14"/>
  <c r="F32" i="14" s="1"/>
  <c r="G32" i="14" s="1"/>
  <c r="H32" i="14" s="1"/>
  <c r="E33" i="14"/>
  <c r="F33" i="14" s="1"/>
  <c r="G33" i="14" s="1"/>
  <c r="H33" i="14" s="1"/>
  <c r="E34" i="14"/>
  <c r="F34" i="14" s="1"/>
  <c r="G34" i="14" s="1"/>
  <c r="H34" i="14" s="1"/>
  <c r="E35" i="14"/>
  <c r="F35" i="14" s="1"/>
  <c r="G35" i="14" s="1"/>
  <c r="H35" i="14" s="1"/>
  <c r="E36" i="14"/>
  <c r="F36" i="14" s="1"/>
  <c r="G36" i="14" s="1"/>
  <c r="H36" i="14" s="1"/>
  <c r="E37" i="14"/>
  <c r="E38" i="14"/>
  <c r="F38" i="14" s="1"/>
  <c r="G38" i="14" s="1"/>
  <c r="H38" i="14" s="1"/>
  <c r="E39" i="14"/>
  <c r="E40" i="14"/>
  <c r="F40" i="14" s="1"/>
  <c r="G40" i="14" s="1"/>
  <c r="H40" i="14" s="1"/>
  <c r="E41" i="14"/>
  <c r="F41" i="14" s="1"/>
  <c r="G41" i="14" s="1"/>
  <c r="H41" i="14" s="1"/>
  <c r="F39" i="14"/>
  <c r="G39" i="14" s="1"/>
  <c r="H39" i="14" s="1"/>
  <c r="F37" i="14"/>
  <c r="G37" i="14" s="1"/>
  <c r="H37" i="14" s="1"/>
  <c r="F31" i="14"/>
  <c r="G31" i="14" s="1"/>
  <c r="H31" i="14" s="1"/>
  <c r="F29" i="14"/>
  <c r="G29" i="14" s="1"/>
  <c r="H29" i="14" s="1"/>
  <c r="F26" i="14"/>
  <c r="G26" i="14" s="1"/>
  <c r="H26" i="14" s="1"/>
  <c r="F23" i="14"/>
  <c r="G23" i="14" s="1"/>
  <c r="H23" i="14" s="1"/>
  <c r="F21" i="14"/>
  <c r="G21" i="14" s="1"/>
  <c r="H21" i="14" s="1"/>
  <c r="F18" i="14"/>
  <c r="G18" i="14" s="1"/>
  <c r="F17" i="14"/>
  <c r="G17" i="14" s="1"/>
  <c r="H17" i="14" s="1"/>
  <c r="F15" i="14"/>
  <c r="G15" i="14" s="1"/>
  <c r="H15" i="14" s="1"/>
  <c r="F13" i="14"/>
  <c r="G13" i="14" s="1"/>
  <c r="H13" i="14" s="1"/>
  <c r="F10" i="14"/>
  <c r="G10" i="14" s="1"/>
  <c r="F9" i="14"/>
  <c r="G9" i="14" s="1"/>
  <c r="H9" i="14" s="1"/>
  <c r="F8" i="14"/>
  <c r="G8" i="14" s="1"/>
  <c r="F10" i="12"/>
  <c r="G10" i="12" s="1"/>
  <c r="H10" i="12" s="1"/>
  <c r="F11" i="12"/>
  <c r="G11" i="12" s="1"/>
  <c r="H11" i="12" s="1"/>
  <c r="F15" i="12"/>
  <c r="G15" i="12" s="1"/>
  <c r="H15" i="12" s="1"/>
  <c r="F18" i="12"/>
  <c r="G18" i="12" s="1"/>
  <c r="F19" i="12"/>
  <c r="G19" i="12" s="1"/>
  <c r="H19" i="12" s="1"/>
  <c r="F23" i="12"/>
  <c r="G23" i="12" s="1"/>
  <c r="H23" i="12" s="1"/>
  <c r="F26" i="12"/>
  <c r="G26" i="12" s="1"/>
  <c r="H26" i="12" s="1"/>
  <c r="F27" i="12"/>
  <c r="G27" i="12" s="1"/>
  <c r="H27" i="12" s="1"/>
  <c r="F31" i="12"/>
  <c r="G31" i="12" s="1"/>
  <c r="H31" i="12" s="1"/>
  <c r="F34" i="12"/>
  <c r="G34" i="12" s="1"/>
  <c r="H34" i="12" s="1"/>
  <c r="F35" i="12"/>
  <c r="G35" i="12" s="1"/>
  <c r="H35" i="12" s="1"/>
  <c r="F39" i="12"/>
  <c r="G39" i="12" s="1"/>
  <c r="H39" i="12" s="1"/>
  <c r="F7" i="12"/>
  <c r="G7" i="12" s="1"/>
  <c r="E8" i="12"/>
  <c r="F8" i="12" s="1"/>
  <c r="G8" i="12" s="1"/>
  <c r="H8" i="12" s="1"/>
  <c r="E9" i="12"/>
  <c r="F9" i="12" s="1"/>
  <c r="G9" i="12" s="1"/>
  <c r="H9" i="12" s="1"/>
  <c r="E10" i="12"/>
  <c r="E11" i="12"/>
  <c r="E12" i="12"/>
  <c r="F12" i="12" s="1"/>
  <c r="G12" i="12" s="1"/>
  <c r="H12" i="12" s="1"/>
  <c r="E13" i="12"/>
  <c r="F13" i="12" s="1"/>
  <c r="G13" i="12" s="1"/>
  <c r="H13" i="12" s="1"/>
  <c r="E14" i="12"/>
  <c r="F14" i="12" s="1"/>
  <c r="G14" i="12" s="1"/>
  <c r="H14" i="12" s="1"/>
  <c r="E15" i="12"/>
  <c r="E16" i="12"/>
  <c r="F16" i="12" s="1"/>
  <c r="G16" i="12" s="1"/>
  <c r="H16" i="12" s="1"/>
  <c r="E17" i="12"/>
  <c r="F17" i="12" s="1"/>
  <c r="G17" i="12" s="1"/>
  <c r="H17" i="12" s="1"/>
  <c r="E18" i="12"/>
  <c r="E19" i="12"/>
  <c r="E20" i="12"/>
  <c r="F20" i="12" s="1"/>
  <c r="G20" i="12" s="1"/>
  <c r="H20" i="12" s="1"/>
  <c r="E21" i="12"/>
  <c r="F21" i="12" s="1"/>
  <c r="G21" i="12" s="1"/>
  <c r="H21" i="12" s="1"/>
  <c r="E22" i="12"/>
  <c r="F22" i="12" s="1"/>
  <c r="G22" i="12" s="1"/>
  <c r="H22" i="12" s="1"/>
  <c r="E23" i="12"/>
  <c r="E24" i="12"/>
  <c r="F24" i="12" s="1"/>
  <c r="G24" i="12" s="1"/>
  <c r="H24" i="12" s="1"/>
  <c r="E25" i="12"/>
  <c r="F25" i="12" s="1"/>
  <c r="G25" i="12" s="1"/>
  <c r="H25" i="12" s="1"/>
  <c r="E26" i="12"/>
  <c r="E27" i="12"/>
  <c r="E28" i="12"/>
  <c r="F28" i="12" s="1"/>
  <c r="G28" i="12" s="1"/>
  <c r="H28" i="12" s="1"/>
  <c r="E29" i="12"/>
  <c r="F29" i="12" s="1"/>
  <c r="G29" i="12" s="1"/>
  <c r="H29" i="12" s="1"/>
  <c r="E30" i="12"/>
  <c r="F30" i="12" s="1"/>
  <c r="G30" i="12" s="1"/>
  <c r="H30" i="12" s="1"/>
  <c r="E31" i="12"/>
  <c r="E32" i="12"/>
  <c r="F32" i="12" s="1"/>
  <c r="G32" i="12" s="1"/>
  <c r="H32" i="12" s="1"/>
  <c r="E33" i="12"/>
  <c r="F33" i="12" s="1"/>
  <c r="G33" i="12" s="1"/>
  <c r="H33" i="12" s="1"/>
  <c r="E34" i="12"/>
  <c r="E35" i="12"/>
  <c r="E36" i="12"/>
  <c r="F36" i="12" s="1"/>
  <c r="G36" i="12" s="1"/>
  <c r="H36" i="12" s="1"/>
  <c r="E37" i="12"/>
  <c r="F37" i="12" s="1"/>
  <c r="G37" i="12" s="1"/>
  <c r="H37" i="12" s="1"/>
  <c r="E38" i="12"/>
  <c r="F38" i="12" s="1"/>
  <c r="G38" i="12" s="1"/>
  <c r="H38" i="12" s="1"/>
  <c r="E39" i="12"/>
  <c r="E40" i="12"/>
  <c r="F40" i="12" s="1"/>
  <c r="G40" i="12" s="1"/>
  <c r="H40" i="12" s="1"/>
  <c r="E41" i="12"/>
  <c r="F41" i="12" s="1"/>
  <c r="G41" i="12" s="1"/>
  <c r="H41" i="12" s="1"/>
  <c r="C6" i="13" l="1"/>
  <c r="H18" i="12"/>
  <c r="D6" i="13" s="1"/>
  <c r="H7" i="12"/>
  <c r="H42" i="12" s="1"/>
  <c r="H8" i="14"/>
  <c r="H42" i="14" s="1"/>
  <c r="G42" i="14"/>
  <c r="H18" i="14"/>
  <c r="D7" i="13" s="1"/>
  <c r="C7" i="13"/>
  <c r="C9" i="13"/>
  <c r="G18" i="15"/>
  <c r="R11" i="19"/>
  <c r="R10" i="19"/>
  <c r="H42" i="16"/>
  <c r="G42" i="16"/>
  <c r="H7" i="17"/>
  <c r="F6" i="18"/>
  <c r="G6" i="18" s="1"/>
  <c r="H6" i="18" s="1"/>
  <c r="H41" i="16"/>
  <c r="H18" i="16"/>
  <c r="D9" i="13" s="1"/>
  <c r="H10" i="14"/>
  <c r="I45" i="19" l="1"/>
  <c r="I62" i="19"/>
  <c r="I7" i="19"/>
  <c r="I8" i="19"/>
  <c r="I60" i="19"/>
  <c r="I16" i="19"/>
  <c r="I11" i="19"/>
  <c r="I53" i="19"/>
  <c r="I31" i="19"/>
  <c r="I19" i="19"/>
  <c r="I32" i="19"/>
  <c r="I59" i="19"/>
  <c r="I55" i="19"/>
  <c r="I14" i="19"/>
  <c r="I24" i="19"/>
  <c r="I46" i="19"/>
  <c r="I33" i="19"/>
  <c r="I57" i="19"/>
  <c r="I9" i="19"/>
  <c r="I52" i="19"/>
  <c r="I26" i="19"/>
  <c r="I47" i="19"/>
  <c r="I13" i="19"/>
  <c r="I22" i="19"/>
  <c r="I48" i="19"/>
  <c r="I15" i="19"/>
  <c r="I10" i="19"/>
  <c r="I42" i="19"/>
  <c r="I41" i="19"/>
  <c r="I43" i="19"/>
  <c r="I63" i="19"/>
  <c r="I51" i="19"/>
  <c r="I21" i="19"/>
  <c r="I30" i="19"/>
  <c r="I25" i="19"/>
  <c r="I23" i="19"/>
  <c r="I50" i="19"/>
  <c r="I27" i="19"/>
  <c r="I65" i="19"/>
  <c r="I36" i="19"/>
  <c r="I54" i="19"/>
  <c r="I44" i="19"/>
  <c r="I29" i="19"/>
  <c r="I38" i="19"/>
  <c r="I49" i="19"/>
  <c r="I39" i="19"/>
  <c r="I35" i="19"/>
  <c r="I20" i="19"/>
  <c r="I34" i="19"/>
  <c r="I18" i="19"/>
  <c r="I37" i="19"/>
  <c r="I28" i="19"/>
  <c r="I58" i="19"/>
  <c r="I40" i="19"/>
  <c r="I61" i="19"/>
  <c r="I56" i="19"/>
  <c r="I17" i="19"/>
  <c r="I64" i="19"/>
  <c r="I12" i="19"/>
  <c r="J32" i="19"/>
  <c r="J49" i="19"/>
  <c r="J35" i="19"/>
  <c r="J63" i="19"/>
  <c r="J29" i="19"/>
  <c r="J14" i="19"/>
  <c r="J37" i="19"/>
  <c r="J40" i="19"/>
  <c r="J65" i="19"/>
  <c r="J59" i="19"/>
  <c r="J9" i="19"/>
  <c r="J30" i="19"/>
  <c r="J54" i="19"/>
  <c r="J53" i="19"/>
  <c r="J45" i="19"/>
  <c r="J36" i="19"/>
  <c r="J27" i="19"/>
  <c r="J48" i="19"/>
  <c r="J18" i="19"/>
  <c r="J28" i="19"/>
  <c r="J25" i="19"/>
  <c r="J62" i="19"/>
  <c r="J39" i="19"/>
  <c r="J22" i="19"/>
  <c r="J42" i="19"/>
  <c r="J56" i="19"/>
  <c r="J26" i="19"/>
  <c r="J52" i="19"/>
  <c r="J57" i="19"/>
  <c r="J47" i="19"/>
  <c r="J11" i="19"/>
  <c r="J31" i="19"/>
  <c r="J17" i="19"/>
  <c r="J64" i="19"/>
  <c r="J34" i="19"/>
  <c r="J13" i="19"/>
  <c r="J58" i="19"/>
  <c r="J10" i="19"/>
  <c r="J19" i="19"/>
  <c r="J12" i="19"/>
  <c r="J43" i="19"/>
  <c r="J38" i="19"/>
  <c r="J8" i="19"/>
  <c r="J16" i="19"/>
  <c r="J33" i="19"/>
  <c r="J50" i="19"/>
  <c r="J46" i="19"/>
  <c r="J20" i="19"/>
  <c r="J21" i="19"/>
  <c r="J51" i="19"/>
  <c r="J55" i="19"/>
  <c r="J24" i="19"/>
  <c r="J41" i="19"/>
  <c r="J7" i="19"/>
  <c r="J23" i="19"/>
  <c r="J60" i="19"/>
  <c r="J61" i="19"/>
  <c r="J44" i="19"/>
  <c r="J15" i="19"/>
  <c r="G42" i="15"/>
  <c r="C8" i="13"/>
  <c r="H18" i="15"/>
  <c r="F10" i="17"/>
  <c r="G10" i="17" s="1"/>
  <c r="H10" i="17" s="1"/>
  <c r="F8" i="17"/>
  <c r="G8" i="17" s="1"/>
  <c r="F9" i="17"/>
  <c r="G9" i="17" s="1"/>
  <c r="H9" i="17" s="1"/>
  <c r="F11" i="17"/>
  <c r="G11" i="17" s="1"/>
  <c r="H11" i="17" s="1"/>
  <c r="M9" i="19" l="1"/>
  <c r="M17" i="19"/>
  <c r="M25" i="19"/>
  <c r="M33" i="19"/>
  <c r="M41" i="19"/>
  <c r="M49" i="19"/>
  <c r="M57" i="19"/>
  <c r="M65" i="19"/>
  <c r="M8" i="19"/>
  <c r="M64" i="19"/>
  <c r="M10" i="19"/>
  <c r="M18" i="19"/>
  <c r="M26" i="19"/>
  <c r="M34" i="19"/>
  <c r="M42" i="19"/>
  <c r="M50" i="19"/>
  <c r="M58" i="19"/>
  <c r="M7" i="19"/>
  <c r="M21" i="19"/>
  <c r="M45" i="19"/>
  <c r="M61" i="19"/>
  <c r="M31" i="19"/>
  <c r="M32" i="19"/>
  <c r="M11" i="19"/>
  <c r="M19" i="19"/>
  <c r="M27" i="19"/>
  <c r="M35" i="19"/>
  <c r="M43" i="19"/>
  <c r="M51" i="19"/>
  <c r="M59" i="19"/>
  <c r="M13" i="19"/>
  <c r="M29" i="19"/>
  <c r="M37" i="19"/>
  <c r="M53" i="19"/>
  <c r="M23" i="19"/>
  <c r="M39" i="19"/>
  <c r="M47" i="19"/>
  <c r="M55" i="19"/>
  <c r="M63" i="19"/>
  <c r="M16" i="19"/>
  <c r="M24" i="19"/>
  <c r="M40" i="19"/>
  <c r="M56" i="19"/>
  <c r="M12" i="19"/>
  <c r="M20" i="19"/>
  <c r="M28" i="19"/>
  <c r="M36" i="19"/>
  <c r="M44" i="19"/>
  <c r="M52" i="19"/>
  <c r="M60" i="19"/>
  <c r="M14" i="19"/>
  <c r="M22" i="19"/>
  <c r="M30" i="19"/>
  <c r="M38" i="19"/>
  <c r="M46" i="19"/>
  <c r="M54" i="19"/>
  <c r="M62" i="19"/>
  <c r="M48" i="19"/>
  <c r="M15" i="19"/>
  <c r="L14" i="19"/>
  <c r="L22" i="19"/>
  <c r="L30" i="19"/>
  <c r="L38" i="19"/>
  <c r="L46" i="19"/>
  <c r="L54" i="19"/>
  <c r="L62" i="19"/>
  <c r="L29" i="19"/>
  <c r="L53" i="19"/>
  <c r="L15" i="19"/>
  <c r="L23" i="19"/>
  <c r="L31" i="19"/>
  <c r="L39" i="19"/>
  <c r="L47" i="19"/>
  <c r="L55" i="19"/>
  <c r="L63" i="19"/>
  <c r="L18" i="19"/>
  <c r="L34" i="19"/>
  <c r="L50" i="19"/>
  <c r="L7" i="19"/>
  <c r="L20" i="19"/>
  <c r="L44" i="19"/>
  <c r="L60" i="19"/>
  <c r="L37" i="19"/>
  <c r="L61" i="19"/>
  <c r="L8" i="19"/>
  <c r="L16" i="19"/>
  <c r="L24" i="19"/>
  <c r="L32" i="19"/>
  <c r="L40" i="19"/>
  <c r="L48" i="19"/>
  <c r="L56" i="19"/>
  <c r="L64" i="19"/>
  <c r="L10" i="19"/>
  <c r="L26" i="19"/>
  <c r="L42" i="19"/>
  <c r="L58" i="19"/>
  <c r="L12" i="19"/>
  <c r="L28" i="19"/>
  <c r="L52" i="19"/>
  <c r="L13" i="19"/>
  <c r="L21" i="19"/>
  <c r="L45" i="19"/>
  <c r="L9" i="19"/>
  <c r="L17" i="19"/>
  <c r="L25" i="19"/>
  <c r="L33" i="19"/>
  <c r="L41" i="19"/>
  <c r="L49" i="19"/>
  <c r="L57" i="19"/>
  <c r="L65" i="19"/>
  <c r="L36" i="19"/>
  <c r="L11" i="19"/>
  <c r="L19" i="19"/>
  <c r="L27" i="19"/>
  <c r="L35" i="19"/>
  <c r="L43" i="19"/>
  <c r="L51" i="19"/>
  <c r="L59" i="19"/>
  <c r="H42" i="15"/>
  <c r="D8" i="13"/>
  <c r="H8" i="17"/>
  <c r="F12" i="17"/>
  <c r="G12" i="17" s="1"/>
  <c r="H12" i="17" s="1"/>
  <c r="F13" i="17" l="1"/>
  <c r="G13" i="17" s="1"/>
  <c r="F14" i="17" l="1"/>
  <c r="G14" i="17" s="1"/>
  <c r="H14" i="17" s="1"/>
  <c r="H13" i="17"/>
  <c r="F15" i="17" l="1"/>
  <c r="G15" i="17" s="1"/>
  <c r="F16" i="17" l="1"/>
  <c r="G16" i="17" s="1"/>
  <c r="H16" i="17" s="1"/>
  <c r="H15" i="17"/>
  <c r="F17" i="17" l="1"/>
  <c r="G17" i="17" s="1"/>
  <c r="H17" i="17" s="1"/>
  <c r="F18" i="17" l="1"/>
  <c r="G18" i="17" s="1"/>
  <c r="H18" i="17" l="1"/>
  <c r="F19" i="17"/>
  <c r="G19" i="17" s="1"/>
  <c r="H19" i="17" s="1"/>
  <c r="F20" i="17" l="1"/>
  <c r="G20" i="17" s="1"/>
  <c r="H20" i="17" l="1"/>
  <c r="F21" i="17"/>
  <c r="G21" i="17" s="1"/>
  <c r="H21" i="17" s="1"/>
  <c r="F22" i="17" l="1"/>
  <c r="G22" i="17" s="1"/>
  <c r="H22" i="17" s="1"/>
  <c r="F23" i="17" l="1"/>
  <c r="G23" i="17" s="1"/>
  <c r="H23" i="17" s="1"/>
  <c r="F24" i="17" l="1"/>
  <c r="G24" i="17" s="1"/>
  <c r="H24" i="17" s="1"/>
  <c r="F25" i="17" l="1"/>
  <c r="G25" i="17" s="1"/>
  <c r="H25" i="17" s="1"/>
  <c r="F26" i="17" l="1"/>
  <c r="G26" i="17" s="1"/>
  <c r="H26" i="17" s="1"/>
  <c r="F27" i="17" l="1"/>
  <c r="G27" i="17" s="1"/>
  <c r="H27" i="17" s="1"/>
  <c r="F28" i="17" l="1"/>
  <c r="G28" i="17" s="1"/>
  <c r="H28" i="17" s="1"/>
  <c r="F29" i="17" l="1"/>
  <c r="G29" i="17" s="1"/>
  <c r="H29" i="17" s="1"/>
  <c r="F30" i="17" l="1"/>
  <c r="G30" i="17" s="1"/>
  <c r="H30" i="17" s="1"/>
  <c r="F31" i="17" l="1"/>
  <c r="G31" i="17" s="1"/>
  <c r="H31" i="17" s="1"/>
  <c r="F32" i="17" l="1"/>
  <c r="G32" i="17" s="1"/>
  <c r="H32" i="17" s="1"/>
  <c r="F33" i="17" l="1"/>
  <c r="G33" i="17" s="1"/>
  <c r="H33" i="17" s="1"/>
  <c r="F34" i="17" l="1"/>
  <c r="G34" i="17" s="1"/>
  <c r="H34" i="17" s="1"/>
  <c r="F35" i="17" l="1"/>
  <c r="G35" i="17" s="1"/>
  <c r="H35" i="17" s="1"/>
  <c r="F36" i="17" l="1"/>
  <c r="G36" i="17" s="1"/>
  <c r="H36" i="17" s="1"/>
  <c r="F37" i="17" l="1"/>
  <c r="G37" i="17" s="1"/>
  <c r="H37" i="17" s="1"/>
  <c r="F38" i="17" l="1"/>
  <c r="G38" i="17" s="1"/>
  <c r="H38" i="17" s="1"/>
  <c r="F39" i="17" l="1"/>
  <c r="G39" i="17" s="1"/>
  <c r="H39" i="17" s="1"/>
  <c r="F41" i="17" l="1"/>
  <c r="G41" i="17" s="1"/>
  <c r="F40" i="17"/>
  <c r="G40" i="17" s="1"/>
  <c r="H40" i="17" s="1"/>
  <c r="G42" i="17" l="1"/>
  <c r="C10" i="13"/>
  <c r="H41" i="17"/>
  <c r="H42" i="17" l="1"/>
  <c r="D10" i="13"/>
  <c r="F8" i="18"/>
  <c r="G8" i="18" s="1"/>
  <c r="H8" i="18" s="1"/>
  <c r="F7" i="18"/>
  <c r="G7" i="18" s="1"/>
  <c r="H7" i="18" s="1"/>
  <c r="F9" i="18" l="1"/>
  <c r="G9" i="18" s="1"/>
  <c r="H9" i="18" s="1"/>
  <c r="F10" i="18" l="1"/>
  <c r="G10" i="18" s="1"/>
  <c r="F11" i="18" l="1"/>
  <c r="G11" i="18" s="1"/>
  <c r="H11" i="18" s="1"/>
  <c r="H10" i="18"/>
  <c r="F12" i="18" l="1"/>
  <c r="G12" i="18" s="1"/>
  <c r="H12" i="18" l="1"/>
  <c r="F13" i="18"/>
  <c r="G13" i="18" s="1"/>
  <c r="H13" i="18" s="1"/>
  <c r="F14" i="18" l="1"/>
  <c r="G14" i="18" s="1"/>
  <c r="H14" i="18" s="1"/>
  <c r="F15" i="18" l="1"/>
  <c r="G15" i="18" s="1"/>
  <c r="F16" i="18" l="1"/>
  <c r="G16" i="18" s="1"/>
  <c r="H16" i="18" s="1"/>
  <c r="H15" i="18"/>
  <c r="F17" i="18" l="1"/>
  <c r="G17" i="18" s="1"/>
  <c r="F18" i="18" l="1"/>
  <c r="G18" i="18" s="1"/>
  <c r="H17" i="18"/>
  <c r="H18" i="18" l="1"/>
  <c r="F19" i="18"/>
  <c r="G19" i="18" s="1"/>
  <c r="H19" i="18" s="1"/>
  <c r="F20" i="18" l="1"/>
  <c r="G20" i="18" s="1"/>
  <c r="H20" i="18" s="1"/>
  <c r="F21" i="18" l="1"/>
  <c r="G21" i="18" s="1"/>
  <c r="H21" i="18" l="1"/>
  <c r="F22" i="18"/>
  <c r="G22" i="18" s="1"/>
  <c r="H22" i="18" s="1"/>
  <c r="F23" i="18" l="1"/>
  <c r="G23" i="18" s="1"/>
  <c r="H23" i="18" s="1"/>
  <c r="F24" i="18" l="1"/>
  <c r="G24" i="18" s="1"/>
  <c r="H24" i="18" s="1"/>
  <c r="F25" i="18" l="1"/>
  <c r="G25" i="18" s="1"/>
  <c r="H25" i="18" s="1"/>
  <c r="F26" i="18" l="1"/>
  <c r="G26" i="18" s="1"/>
  <c r="H26" i="18" s="1"/>
  <c r="F27" i="18" l="1"/>
  <c r="G27" i="18" s="1"/>
  <c r="H27" i="18" s="1"/>
  <c r="F28" i="18" l="1"/>
  <c r="G28" i="18" s="1"/>
  <c r="H28" i="18" s="1"/>
  <c r="F29" i="18" l="1"/>
  <c r="G29" i="18" s="1"/>
  <c r="H29" i="18" s="1"/>
  <c r="F30" i="18" l="1"/>
  <c r="G30" i="18" s="1"/>
  <c r="H30" i="18" s="1"/>
  <c r="F31" i="18" l="1"/>
  <c r="G31" i="18" s="1"/>
  <c r="H31" i="18" s="1"/>
  <c r="F32" i="18" l="1"/>
  <c r="G32" i="18" s="1"/>
  <c r="H32" i="18" s="1"/>
  <c r="F33" i="18" l="1"/>
  <c r="G33" i="18" s="1"/>
  <c r="H33" i="18" s="1"/>
  <c r="F34" i="18" l="1"/>
  <c r="G34" i="18" s="1"/>
  <c r="H34" i="18" s="1"/>
  <c r="F35" i="18" l="1"/>
  <c r="G35" i="18" s="1"/>
  <c r="H35" i="18" s="1"/>
  <c r="F36" i="18" l="1"/>
  <c r="G36" i="18" s="1"/>
  <c r="H36" i="18" s="1"/>
  <c r="F37" i="18" l="1"/>
  <c r="G37" i="18" s="1"/>
  <c r="H37" i="18" s="1"/>
  <c r="F38" i="18" l="1"/>
  <c r="G38" i="18" s="1"/>
  <c r="H38" i="18" s="1"/>
  <c r="F39" i="18" l="1"/>
  <c r="G39" i="18" s="1"/>
  <c r="H39" i="18" s="1"/>
  <c r="F40" i="18" l="1"/>
  <c r="G40" i="18" s="1"/>
  <c r="H40" i="18" s="1"/>
  <c r="F41" i="18"/>
  <c r="G41" i="18" s="1"/>
  <c r="C11" i="13" s="1"/>
  <c r="H41" i="18" l="1"/>
  <c r="G42" i="18"/>
  <c r="H42" i="18" l="1"/>
  <c r="D11" i="13"/>
</calcChain>
</file>

<file path=xl/sharedStrings.xml><?xml version="1.0" encoding="utf-8"?>
<sst xmlns="http://schemas.openxmlformats.org/spreadsheetml/2006/main" count="465" uniqueCount="99">
  <si>
    <t>JANUARY</t>
  </si>
  <si>
    <t>FEBRUARY</t>
  </si>
  <si>
    <t>MARCH</t>
  </si>
  <si>
    <t>APRIL</t>
  </si>
  <si>
    <t>MAY</t>
  </si>
  <si>
    <t>JUNE</t>
  </si>
  <si>
    <t>JULY</t>
  </si>
  <si>
    <t>AUGUST</t>
  </si>
  <si>
    <t>SEPTEMBER</t>
  </si>
  <si>
    <t>OCTOBER</t>
  </si>
  <si>
    <t>NOVEMBER</t>
  </si>
  <si>
    <t>DECEMBER</t>
  </si>
  <si>
    <t>YEAR</t>
  </si>
  <si>
    <t>MONTH</t>
  </si>
  <si>
    <t>FORECAST</t>
  </si>
  <si>
    <t>ERROR</t>
  </si>
  <si>
    <t>ACTUAL DEMAND</t>
  </si>
  <si>
    <t>ABSOLUTE ERROR</t>
  </si>
  <si>
    <t>NAÏVE</t>
  </si>
  <si>
    <r>
      <t>ERROR</t>
    </r>
    <r>
      <rPr>
        <b/>
        <vertAlign val="superscript"/>
        <sz val="11"/>
        <color theme="1"/>
        <rFont val="Calibri"/>
        <family val="2"/>
        <scheme val="minor"/>
      </rPr>
      <t>2</t>
    </r>
  </si>
  <si>
    <t>NAÏVE WITH TREND</t>
  </si>
  <si>
    <t>NAÏVE WITH SEASONALITY</t>
  </si>
  <si>
    <t>MOVING AVERAGE</t>
  </si>
  <si>
    <t>EXPONENTIAL SMOOTHING</t>
  </si>
  <si>
    <t>Initial Forecast</t>
  </si>
  <si>
    <t>REGRESSION</t>
  </si>
  <si>
    <t>Demand Intercept</t>
  </si>
  <si>
    <t>Slope</t>
  </si>
  <si>
    <t>Naïve Forecast: Tomorrow will be the same as today</t>
  </si>
  <si>
    <t>Naïve Forecast with Trend: Same trend from last period</t>
  </si>
  <si>
    <t>Naïve Forecast with Seasonality: Same as last same season</t>
  </si>
  <si>
    <t>Moving Average: Same as last n periods</t>
  </si>
  <si>
    <t>Consider 1 quarter as one period.</t>
  </si>
  <si>
    <t>Consider 1 year as one season.</t>
  </si>
  <si>
    <t>Consider initial forecast of 25 and smoothing constant of 0.5</t>
  </si>
  <si>
    <t>α</t>
  </si>
  <si>
    <t>Exponential Smoothing: Exponentially weighted average of previous periods</t>
  </si>
  <si>
    <t>TIME SERIES FORECASTING METHOD</t>
  </si>
  <si>
    <t>Naïve</t>
  </si>
  <si>
    <t>Naïve with Trend</t>
  </si>
  <si>
    <t>Naïve with Seasonality</t>
  </si>
  <si>
    <t>Moving Average</t>
  </si>
  <si>
    <t>Exponential Smoothing</t>
  </si>
  <si>
    <t>Linear Regression</t>
  </si>
  <si>
    <t>MEAN ABSOLUTE DEVIATION</t>
  </si>
  <si>
    <t>MEAN SQUARED ERROR</t>
  </si>
  <si>
    <t>UCL</t>
  </si>
  <si>
    <t>LCL</t>
  </si>
  <si>
    <t>MSE</t>
  </si>
  <si>
    <t>Linear Regression: Plotting a straight line through the actual demand curve</t>
  </si>
  <si>
    <t>c</t>
  </si>
  <si>
    <t>m</t>
  </si>
  <si>
    <t>Comparision of MAD and MSE</t>
  </si>
  <si>
    <t>Forecasting</t>
  </si>
  <si>
    <t>Past Data</t>
  </si>
  <si>
    <t>New Data</t>
  </si>
  <si>
    <t>Z-Score</t>
  </si>
  <si>
    <t>Smoothing Constant</t>
  </si>
  <si>
    <t xml:space="preserve"> = SLOPE(demand values,time series)</t>
  </si>
  <si>
    <t xml:space="preserve"> = INTERCEPT(demand values,time series)</t>
  </si>
  <si>
    <t>z</t>
  </si>
  <si>
    <t>Mean Squared Error</t>
  </si>
  <si>
    <t>Root Mean Squared Error</t>
  </si>
  <si>
    <t>RMSE</t>
  </si>
  <si>
    <t>Upper Control Limit</t>
  </si>
  <si>
    <t>Lower Control Limit</t>
  </si>
  <si>
    <t>= ABS(NORM.S.INV(0.025)) for 95% confidence level</t>
  </si>
  <si>
    <t xml:space="preserve"> = sqrt(MSE)</t>
  </si>
  <si>
    <t>Daun Choi</t>
  </si>
  <si>
    <t xml:space="preserve">Questions: On Moodle (Content related/ Organizational related) </t>
  </si>
  <si>
    <t>MAD</t>
  </si>
  <si>
    <t>1. Decide on the method (naiive)</t>
  </si>
  <si>
    <t>4. Get the UCL / LCL</t>
  </si>
  <si>
    <r>
      <rPr>
        <sz val="17"/>
        <color theme="1"/>
        <rFont val="Calibri"/>
        <family val="2"/>
        <scheme val="minor"/>
      </rPr>
      <t>For personal issues only:</t>
    </r>
    <r>
      <rPr>
        <u/>
        <sz val="17"/>
        <color theme="10"/>
        <rFont val="Calibri"/>
        <family val="2"/>
        <scheme val="minor"/>
      </rPr>
      <t xml:space="preserve"> </t>
    </r>
    <r>
      <rPr>
        <u/>
        <sz val="17"/>
        <color theme="4"/>
        <rFont val="Calibri"/>
        <family val="2"/>
        <scheme val="minor"/>
      </rPr>
      <t>daun.choi@tum.de</t>
    </r>
  </si>
  <si>
    <t xml:space="preserve"> = z*RMSE+mean</t>
  </si>
  <si>
    <t xml:space="preserve"> = - z*RMSE+mean</t>
  </si>
  <si>
    <t>Assume mean error as 0</t>
  </si>
  <si>
    <t>Actual</t>
  </si>
  <si>
    <t>Forecast</t>
  </si>
  <si>
    <t>Period</t>
  </si>
  <si>
    <t>Actual-Forecast</t>
  </si>
  <si>
    <t>Absolute error</t>
  </si>
  <si>
    <t>Error square</t>
  </si>
  <si>
    <t>Use RMSE for calculating the control limits. Value of z-Score for 95% confidence level is 1.96 (Two-tailed)</t>
  </si>
  <si>
    <t>Demand Prediction for 2026 and 2027</t>
  </si>
  <si>
    <t>A company produces a product, whose demand is observed for 3 consecutive years from 2023 to 2025, and has been recorded. Apply the following methods for making forecasts. You may use all past data to adjust the parameters (alpha in exponential smoothing, intercept and slope in regression) 
- Naïve 
- Naïve with trend 
- Naïve with seasonality 
- Moving average
- Exponential smoothing
- Linear Regression
Compare the MAD and MSE for the above forecasting methods, and choose the most suitable one for the given dataset.</t>
  </si>
  <si>
    <t xml:space="preserve">Apply the most suitable forecasting method you have selected to predict demand for 2026 and 2027. Calculate the control limits for 95% confidence level based on past data from 2023 to 2025. Find and plot errors for all 5 years and check if they fall within the control limits. Interpret your graphic result, and explain your findings. 
</t>
  </si>
  <si>
    <t>Compare from January 2024 to December 2025.</t>
  </si>
  <si>
    <t xml:space="preserve"> Calculated for past data from period 2023 to 2025</t>
  </si>
  <si>
    <t xml:space="preserve">Apply the most suitable forecasting method you have selected to predict demand for 2026 and 2027. Calculate the control limits for 95% confidence level based on past data from 2023 to 2025. 
Find and plot errors for all 5 years and check if they fall within the control limits. Interpret your graphic result, and explain your findings. </t>
  </si>
  <si>
    <t>2. Forecast from 2023~ 2027</t>
  </si>
  <si>
    <t>(But the real forecasting is 2026, 2027)</t>
  </si>
  <si>
    <t>3. Get the Mean error &amp; MSE &amp; RMSE from past data 2023~2025</t>
  </si>
  <si>
    <t>5. Evaluate your forecast of 2026, 2027</t>
  </si>
  <si>
    <t>Sample standard deviation</t>
  </si>
  <si>
    <t>Sample mean error</t>
  </si>
  <si>
    <t xml:space="preserve">squared deviation from the mean error </t>
  </si>
  <si>
    <t>Squared deviation from the mean error</t>
  </si>
  <si>
    <t>Use the sample mean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</si>
</sst>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
  </numFmts>
  <fonts count="3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b/>
      <sz val="20"/>
      <color theme="0" tint="-0.499984740745262"/>
      <name val="Century Gothic"/>
      <family val="1"/>
    </font>
    <font>
      <sz val="11"/>
      <color theme="1"/>
      <name val="Calibri"/>
      <family val="2"/>
      <scheme val="minor"/>
    </font>
    <font>
      <sz val="12"/>
      <color theme="1"/>
      <name val="Arial"/>
      <family val="2"/>
    </font>
    <font>
      <sz val="12"/>
      <color theme="1"/>
      <name val="Calibri"/>
      <family val="2"/>
      <scheme val="minor"/>
    </font>
    <font>
      <b/>
      <sz val="11"/>
      <color theme="1"/>
      <name val="Calibri"/>
      <family val="2"/>
      <scheme val="minor"/>
    </font>
    <font>
      <sz val="12"/>
      <color theme="1" tint="0.34998626667073579"/>
      <name val="Century Gothic"/>
      <family val="1"/>
    </font>
    <font>
      <u/>
      <sz val="11"/>
      <color theme="10"/>
      <name val="Calibri"/>
      <family val="2"/>
      <scheme val="minor"/>
    </font>
    <font>
      <b/>
      <sz val="10"/>
      <color theme="1"/>
      <name val="Century Gothic"/>
      <family val="1"/>
    </font>
    <font>
      <b/>
      <sz val="12"/>
      <color theme="1" tint="0.34998626667073579"/>
      <name val="Century Gothic"/>
      <family val="1"/>
    </font>
    <font>
      <b/>
      <vertAlign val="superscript"/>
      <sz val="11"/>
      <color theme="1"/>
      <name val="Calibri"/>
      <family val="2"/>
      <scheme val="minor"/>
    </font>
    <font>
      <b/>
      <sz val="16"/>
      <color theme="0" tint="-0.499984740745262"/>
      <name val="Century Gothic"/>
      <family val="2"/>
    </font>
    <font>
      <b/>
      <sz val="14"/>
      <color theme="0" tint="-0.499984740745262"/>
      <name val="Century Gothic"/>
      <family val="1"/>
    </font>
    <font>
      <b/>
      <sz val="14"/>
      <color theme="0" tint="-0.499984740745262"/>
      <name val="Century Gothic"/>
      <family val="2"/>
    </font>
    <font>
      <i/>
      <sz val="11"/>
      <color rgb="FF7F7F7F"/>
      <name val="Calibri"/>
      <family val="2"/>
      <scheme val="minor"/>
    </font>
    <font>
      <sz val="16"/>
      <color theme="1"/>
      <name val="Arial"/>
      <family val="2"/>
    </font>
    <font>
      <b/>
      <sz val="20"/>
      <color theme="0" tint="-0.499984740745262"/>
      <name val="Century Gothic"/>
      <family val="2"/>
    </font>
    <font>
      <sz val="11"/>
      <color theme="1"/>
      <name val="Century Gothic"/>
      <family val="2"/>
    </font>
    <font>
      <b/>
      <sz val="11"/>
      <color theme="1"/>
      <name val="Century Gothic"/>
      <family val="2"/>
    </font>
    <font>
      <b/>
      <sz val="10"/>
      <color theme="1"/>
      <name val="Century Gothic"/>
      <family val="2"/>
    </font>
    <font>
      <i/>
      <sz val="11"/>
      <color theme="1"/>
      <name val="Cambria"/>
      <family val="1"/>
      <scheme val="major"/>
    </font>
    <font>
      <i/>
      <sz val="12"/>
      <color theme="1"/>
      <name val="Cambria"/>
      <family val="1"/>
      <scheme val="major"/>
    </font>
    <font>
      <sz val="17"/>
      <color theme="1"/>
      <name val="Calibri"/>
      <family val="2"/>
      <scheme val="minor"/>
    </font>
    <font>
      <u/>
      <sz val="17"/>
      <color theme="10"/>
      <name val="Calibri"/>
      <family val="2"/>
      <scheme val="minor"/>
    </font>
    <font>
      <sz val="14"/>
      <color theme="1"/>
      <name val="Calibri"/>
      <family val="2"/>
      <scheme val="minor"/>
    </font>
    <font>
      <u/>
      <sz val="17"/>
      <color theme="4"/>
      <name val="Calibri"/>
      <family val="2"/>
      <scheme val="minor"/>
    </font>
    <font>
      <i/>
      <sz val="11"/>
      <color theme="0" tint="-0.499984740745262"/>
      <name val="Calibri"/>
      <family val="2"/>
      <scheme val="minor"/>
    </font>
    <font>
      <sz val="11"/>
      <color theme="1"/>
      <name val="Calibri"/>
      <family val="2"/>
    </font>
    <font>
      <b/>
      <sz val="12"/>
      <color theme="1"/>
      <name val="Century Gothic"/>
      <family val="2"/>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EAEEF3"/>
        <bgColor indexed="64"/>
      </patternFill>
    </fill>
    <fill>
      <patternFill patternType="solid">
        <fgColor rgb="FFF3F5F7"/>
        <bgColor indexed="64"/>
      </patternFill>
    </fill>
    <fill>
      <patternFill patternType="solid">
        <fgColor theme="7" tint="0.59999389629810485"/>
        <bgColor indexed="64"/>
      </patternFill>
    </fill>
  </fills>
  <borders count="25">
    <border>
      <left/>
      <right/>
      <top/>
      <bottom/>
      <diagonal/>
    </border>
    <border>
      <left style="thick">
        <color theme="0" tint="-0.34998626667073579"/>
      </left>
      <right/>
      <top/>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double">
        <color theme="0" tint="-0.249977111117893"/>
      </right>
      <top style="thin">
        <color theme="0" tint="-0.249977111117893"/>
      </top>
      <bottom style="medium">
        <color theme="0" tint="-0.249977111117893"/>
      </bottom>
      <diagonal/>
    </border>
    <border>
      <left style="medium">
        <color theme="0" tint="-0.249977111117893"/>
      </left>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style="medium">
        <color theme="0" tint="-0.249977111117893"/>
      </right>
      <top/>
      <bottom style="thin">
        <color theme="0" tint="-0.249977111117893"/>
      </bottom>
      <diagonal/>
    </border>
    <border>
      <left/>
      <right style="double">
        <color theme="0" tint="-0.249977111117893"/>
      </right>
      <top style="medium">
        <color theme="0" tint="-0.249977111117893"/>
      </top>
      <bottom/>
      <diagonal/>
    </border>
    <border>
      <left/>
      <right/>
      <top/>
      <bottom style="thin">
        <color theme="0" tint="-0.249977111117893"/>
      </bottom>
      <diagonal/>
    </border>
    <border>
      <left style="medium">
        <color theme="0" tint="-0.249977111117893"/>
      </left>
      <right style="double">
        <color theme="0" tint="-0.249977111117893"/>
      </right>
      <top style="medium">
        <color theme="0" tint="-0.249977111117893"/>
      </top>
      <bottom/>
      <diagonal/>
    </border>
    <border>
      <left style="medium">
        <color theme="0" tint="-0.249977111117893"/>
      </left>
      <right style="double">
        <color theme="0" tint="-0.249977111117893"/>
      </right>
      <top/>
      <bottom style="thin">
        <color theme="0" tint="-0.249977111117893"/>
      </bottom>
      <diagonal/>
    </border>
    <border>
      <left style="double">
        <color theme="0" tint="-0.249977111117893"/>
      </left>
      <right/>
      <top style="medium">
        <color theme="0" tint="-0.249977111117893"/>
      </top>
      <bottom style="thin">
        <color theme="0" tint="-0.249977111117893"/>
      </bottom>
      <diagonal/>
    </border>
    <border>
      <left/>
      <right style="thick">
        <color theme="0" tint="-0.34998626667073579"/>
      </right>
      <top/>
      <bottom/>
      <diagonal/>
    </border>
    <border>
      <left/>
      <right style="medium">
        <color theme="0" tint="-0.249977111117893"/>
      </right>
      <top/>
      <bottom/>
      <diagonal/>
    </border>
  </borders>
  <cellStyleXfs count="1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0" fillId="0" borderId="0"/>
    <xf numFmtId="0" fontId="6" fillId="0" borderId="0" applyNumberFormat="0" applyFill="0" applyBorder="0" applyAlignment="0" applyProtection="0"/>
    <xf numFmtId="0" fontId="5" fillId="0" borderId="0"/>
    <xf numFmtId="0" fontId="15" fillId="0" borderId="0" applyNumberFormat="0" applyFill="0" applyBorder="0" applyAlignment="0" applyProtection="0"/>
    <xf numFmtId="9" fontId="5" fillId="0" borderId="0" applyFont="0" applyFill="0" applyBorder="0" applyAlignment="0" applyProtection="0"/>
    <xf numFmtId="0" fontId="22" fillId="0" borderId="0" applyNumberFormat="0" applyFill="0" applyBorder="0" applyAlignment="0" applyProtection="0"/>
  </cellStyleXfs>
  <cellXfs count="92">
    <xf numFmtId="0" fontId="0" fillId="0" borderId="0" xfId="0"/>
    <xf numFmtId="0" fontId="10" fillId="0" borderId="0" xfId="5"/>
    <xf numFmtId="0" fontId="5" fillId="2" borderId="0" xfId="7" applyFill="1"/>
    <xf numFmtId="0" fontId="11" fillId="0" borderId="0" xfId="7" applyFont="1"/>
    <xf numFmtId="3" fontId="8" fillId="0" borderId="2" xfId="7" applyNumberFormat="1" applyFont="1" applyBorder="1" applyAlignment="1">
      <alignment horizontal="center" vertical="center"/>
    </xf>
    <xf numFmtId="0" fontId="8" fillId="3" borderId="5" xfId="7" applyFont="1" applyFill="1" applyBorder="1" applyAlignment="1">
      <alignment horizontal="left" vertical="center" indent="1"/>
    </xf>
    <xf numFmtId="3" fontId="8" fillId="0" borderId="7" xfId="7" applyNumberFormat="1" applyFont="1" applyBorder="1" applyAlignment="1">
      <alignment horizontal="center" vertical="center"/>
    </xf>
    <xf numFmtId="0" fontId="8" fillId="3" borderId="9" xfId="7" applyFont="1" applyFill="1" applyBorder="1" applyAlignment="1">
      <alignment horizontal="left" vertical="center" indent="1"/>
    </xf>
    <xf numFmtId="9" fontId="16" fillId="4" borderId="6" xfId="9" applyFont="1" applyFill="1" applyBorder="1" applyAlignment="1">
      <alignment horizontal="center" vertical="center"/>
    </xf>
    <xf numFmtId="0" fontId="16" fillId="4" borderId="10" xfId="7" applyFont="1" applyFill="1" applyBorder="1" applyAlignment="1">
      <alignment horizontal="center" vertical="center"/>
    </xf>
    <xf numFmtId="0" fontId="12" fillId="2" borderId="0" xfId="7" applyFont="1" applyFill="1" applyAlignment="1">
      <alignment vertical="center"/>
    </xf>
    <xf numFmtId="0" fontId="8" fillId="0" borderId="0" xfId="7" applyFont="1" applyAlignment="1">
      <alignment wrapText="1"/>
    </xf>
    <xf numFmtId="0" fontId="8" fillId="2" borderId="0" xfId="7" applyFont="1" applyFill="1" applyAlignment="1">
      <alignment wrapText="1"/>
    </xf>
    <xf numFmtId="0" fontId="14" fillId="0" borderId="0" xfId="7" applyFont="1" applyAlignment="1" applyProtection="1">
      <alignment vertical="top"/>
      <protection hidden="1"/>
    </xf>
    <xf numFmtId="0" fontId="5" fillId="0" borderId="0" xfId="7"/>
    <xf numFmtId="0" fontId="9" fillId="2" borderId="0" xfId="7" applyFont="1" applyFill="1" applyAlignment="1">
      <alignment vertical="center"/>
    </xf>
    <xf numFmtId="1" fontId="8" fillId="6" borderId="8" xfId="9" applyNumberFormat="1" applyFont="1" applyFill="1" applyBorder="1" applyAlignment="1">
      <alignment horizontal="center" vertical="center"/>
    </xf>
    <xf numFmtId="1" fontId="8" fillId="6" borderId="4" xfId="9" applyNumberFormat="1" applyFont="1" applyFill="1" applyBorder="1" applyAlignment="1">
      <alignment horizontal="center" vertical="center"/>
    </xf>
    <xf numFmtId="0" fontId="16" fillId="4" borderId="19" xfId="7" applyFont="1" applyFill="1" applyBorder="1" applyAlignment="1">
      <alignment horizontal="center" vertical="center" wrapText="1"/>
    </xf>
    <xf numFmtId="1" fontId="8" fillId="5" borderId="6" xfId="9" applyNumberFormat="1" applyFont="1" applyFill="1" applyBorder="1" applyAlignment="1">
      <alignment horizontal="center" vertical="center"/>
    </xf>
    <xf numFmtId="2" fontId="8" fillId="5" borderId="3" xfId="9" applyNumberFormat="1" applyFont="1" applyFill="1" applyBorder="1" applyAlignment="1">
      <alignment horizontal="center" vertical="center"/>
    </xf>
    <xf numFmtId="1" fontId="8" fillId="5" borderId="3" xfId="9" applyNumberFormat="1" applyFont="1" applyFill="1" applyBorder="1" applyAlignment="1">
      <alignment horizontal="center" vertical="center"/>
    </xf>
    <xf numFmtId="2" fontId="5" fillId="2" borderId="0" xfId="7" applyNumberFormat="1" applyFill="1"/>
    <xf numFmtId="4" fontId="8" fillId="0" borderId="7" xfId="7" applyNumberFormat="1" applyFont="1" applyBorder="1" applyAlignment="1">
      <alignment horizontal="center" vertical="center"/>
    </xf>
    <xf numFmtId="4" fontId="8" fillId="0" borderId="2" xfId="7" applyNumberFormat="1" applyFont="1" applyBorder="1" applyAlignment="1">
      <alignment horizontal="center" vertical="center"/>
    </xf>
    <xf numFmtId="4" fontId="8" fillId="5" borderId="6" xfId="9" applyNumberFormat="1" applyFont="1" applyFill="1" applyBorder="1" applyAlignment="1">
      <alignment horizontal="center" vertical="center"/>
    </xf>
    <xf numFmtId="4" fontId="8" fillId="5" borderId="3" xfId="9" applyNumberFormat="1" applyFont="1" applyFill="1" applyBorder="1" applyAlignment="1">
      <alignment horizontal="center" vertical="center"/>
    </xf>
    <xf numFmtId="0" fontId="17" fillId="5" borderId="18" xfId="7" applyFont="1" applyFill="1" applyBorder="1" applyAlignment="1" applyProtection="1">
      <alignment horizontal="center" vertical="center" wrapText="1"/>
      <protection hidden="1"/>
    </xf>
    <xf numFmtId="0" fontId="6" fillId="0" borderId="0" xfId="6"/>
    <xf numFmtId="2" fontId="8" fillId="0" borderId="2" xfId="7" applyNumberFormat="1" applyFont="1" applyBorder="1" applyAlignment="1">
      <alignment horizontal="center" vertical="center"/>
    </xf>
    <xf numFmtId="17" fontId="8" fillId="3" borderId="9" xfId="7" applyNumberFormat="1" applyFont="1" applyFill="1" applyBorder="1" applyAlignment="1">
      <alignment horizontal="left" vertical="center" indent="1"/>
    </xf>
    <xf numFmtId="17" fontId="8" fillId="3" borderId="5" xfId="7" applyNumberFormat="1" applyFont="1" applyFill="1" applyBorder="1" applyAlignment="1">
      <alignment horizontal="left" vertical="center" indent="1"/>
    </xf>
    <xf numFmtId="0" fontId="19" fillId="2" borderId="0" xfId="7" applyFont="1" applyFill="1" applyAlignment="1">
      <alignment vertical="center"/>
    </xf>
    <xf numFmtId="0" fontId="20" fillId="2" borderId="0" xfId="7" applyFont="1" applyFill="1" applyAlignment="1">
      <alignment vertical="center"/>
    </xf>
    <xf numFmtId="0" fontId="21" fillId="2" borderId="0" xfId="7" applyFont="1" applyFill="1" applyAlignment="1">
      <alignment vertical="center"/>
    </xf>
    <xf numFmtId="0" fontId="17" fillId="5" borderId="20" xfId="7" applyFont="1" applyFill="1" applyBorder="1" applyAlignment="1" applyProtection="1">
      <alignment horizontal="center" vertical="center" wrapText="1"/>
      <protection hidden="1"/>
    </xf>
    <xf numFmtId="0" fontId="14" fillId="3" borderId="16" xfId="7" applyFont="1" applyFill="1" applyBorder="1" applyAlignment="1" applyProtection="1">
      <alignment horizontal="center" vertical="center"/>
      <protection hidden="1"/>
    </xf>
    <xf numFmtId="2" fontId="8" fillId="6" borderId="8" xfId="9" applyNumberFormat="1" applyFont="1" applyFill="1" applyBorder="1" applyAlignment="1">
      <alignment horizontal="center" vertical="center"/>
    </xf>
    <xf numFmtId="0" fontId="4" fillId="2" borderId="0" xfId="7" applyFont="1" applyFill="1"/>
    <xf numFmtId="0" fontId="24" fillId="2" borderId="0" xfId="7" applyFont="1" applyFill="1" applyAlignment="1">
      <alignment vertical="center"/>
    </xf>
    <xf numFmtId="0" fontId="25" fillId="2" borderId="0" xfId="7" applyFont="1" applyFill="1"/>
    <xf numFmtId="4" fontId="13" fillId="2" borderId="0" xfId="7" applyNumberFormat="1" applyFont="1" applyFill="1"/>
    <xf numFmtId="2" fontId="13" fillId="2" borderId="0" xfId="7" applyNumberFormat="1" applyFont="1" applyFill="1"/>
    <xf numFmtId="0" fontId="26" fillId="2" borderId="0" xfId="7" applyFont="1" applyFill="1"/>
    <xf numFmtId="0" fontId="22" fillId="2" borderId="0" xfId="10" quotePrefix="1" applyFill="1"/>
    <xf numFmtId="0" fontId="27" fillId="7" borderId="9" xfId="7" applyFont="1" applyFill="1" applyBorder="1" applyAlignment="1">
      <alignment horizontal="left" vertical="center" indent="1"/>
    </xf>
    <xf numFmtId="0" fontId="16" fillId="4" borderId="11" xfId="7" applyFont="1" applyFill="1" applyBorder="1" applyAlignment="1" applyProtection="1">
      <alignment horizontal="center" vertical="center" wrapText="1"/>
      <protection hidden="1"/>
    </xf>
    <xf numFmtId="0" fontId="22" fillId="0" borderId="0" xfId="10" quotePrefix="1"/>
    <xf numFmtId="0" fontId="25" fillId="2" borderId="0" xfId="7" applyFont="1" applyFill="1" applyAlignment="1">
      <alignment horizontal="right"/>
    </xf>
    <xf numFmtId="0" fontId="28" fillId="2" borderId="0" xfId="7" applyFont="1" applyFill="1"/>
    <xf numFmtId="0" fontId="29" fillId="2" borderId="0" xfId="7" applyFont="1" applyFill="1"/>
    <xf numFmtId="2" fontId="25" fillId="2" borderId="0" xfId="7" applyNumberFormat="1" applyFont="1" applyFill="1"/>
    <xf numFmtId="3" fontId="5" fillId="2" borderId="0" xfId="7" applyNumberFormat="1" applyFill="1"/>
    <xf numFmtId="0" fontId="30" fillId="0" borderId="0" xfId="0" applyFont="1"/>
    <xf numFmtId="0" fontId="31" fillId="0" borderId="0" xfId="6" applyFont="1"/>
    <xf numFmtId="0" fontId="3" fillId="2" borderId="0" xfId="7" applyFont="1" applyFill="1"/>
    <xf numFmtId="0" fontId="13" fillId="2" borderId="0" xfId="7" applyFont="1" applyFill="1" applyAlignment="1">
      <alignment horizontal="right"/>
    </xf>
    <xf numFmtId="4" fontId="5" fillId="2" borderId="0" xfId="7" applyNumberFormat="1" applyFill="1"/>
    <xf numFmtId="0" fontId="2" fillId="2" borderId="0" xfId="7" applyFont="1" applyFill="1"/>
    <xf numFmtId="0" fontId="32" fillId="2" borderId="0" xfId="7" applyFont="1" applyFill="1"/>
    <xf numFmtId="4" fontId="8" fillId="2" borderId="0" xfId="7" applyNumberFormat="1" applyFont="1" applyFill="1" applyAlignment="1">
      <alignment wrapText="1"/>
    </xf>
    <xf numFmtId="165" fontId="8" fillId="2" borderId="0" xfId="7" applyNumberFormat="1" applyFont="1" applyFill="1" applyAlignment="1">
      <alignment wrapText="1"/>
    </xf>
    <xf numFmtId="164" fontId="5" fillId="2" borderId="0" xfId="7" applyNumberFormat="1" applyFill="1"/>
    <xf numFmtId="0" fontId="34" fillId="2" borderId="0" xfId="7" applyFont="1" applyFill="1"/>
    <xf numFmtId="0" fontId="35" fillId="2" borderId="0" xfId="7" applyFont="1" applyFill="1"/>
    <xf numFmtId="0" fontId="1" fillId="0" borderId="0" xfId="5" applyFont="1"/>
    <xf numFmtId="0" fontId="17" fillId="4" borderId="22" xfId="7" applyFont="1" applyFill="1" applyBorder="1" applyAlignment="1" applyProtection="1">
      <alignment vertical="center"/>
      <protection hidden="1"/>
    </xf>
    <xf numFmtId="0" fontId="17" fillId="4" borderId="12" xfId="7" applyFont="1" applyFill="1" applyBorder="1" applyAlignment="1" applyProtection="1">
      <alignment vertical="center"/>
      <protection hidden="1"/>
    </xf>
    <xf numFmtId="0" fontId="17" fillId="4" borderId="11" xfId="7" applyFont="1" applyFill="1" applyBorder="1" applyAlignment="1" applyProtection="1">
      <alignment vertical="center"/>
      <protection hidden="1"/>
    </xf>
    <xf numFmtId="0" fontId="14" fillId="3" borderId="16" xfId="7" applyFont="1" applyFill="1" applyBorder="1" applyAlignment="1" applyProtection="1">
      <alignment vertical="center"/>
      <protection hidden="1"/>
    </xf>
    <xf numFmtId="0" fontId="14" fillId="3" borderId="17" xfId="7" applyFont="1" applyFill="1" applyBorder="1" applyAlignment="1" applyProtection="1">
      <alignment vertical="center"/>
      <protection hidden="1"/>
    </xf>
    <xf numFmtId="0" fontId="27" fillId="2" borderId="0" xfId="7" applyFont="1" applyFill="1" applyAlignment="1">
      <alignment vertical="center"/>
    </xf>
    <xf numFmtId="0" fontId="1" fillId="0" borderId="0" xfId="5" quotePrefix="1" applyFont="1"/>
    <xf numFmtId="0" fontId="27" fillId="2" borderId="0" xfId="7" applyFont="1" applyFill="1" applyAlignment="1">
      <alignment wrapText="1"/>
    </xf>
    <xf numFmtId="0" fontId="36" fillId="0" borderId="0" xfId="7" applyFont="1" applyAlignment="1" applyProtection="1">
      <alignment vertical="top"/>
      <protection hidden="1"/>
    </xf>
    <xf numFmtId="4" fontId="27" fillId="0" borderId="7" xfId="7" applyNumberFormat="1" applyFont="1" applyBorder="1" applyAlignment="1">
      <alignment horizontal="center" vertical="center"/>
    </xf>
    <xf numFmtId="0" fontId="8" fillId="3" borderId="13" xfId="7" applyFont="1" applyFill="1" applyBorder="1" applyAlignment="1">
      <alignment horizontal="center" vertical="center"/>
    </xf>
    <xf numFmtId="0" fontId="8" fillId="3" borderId="14" xfId="7" applyFont="1" applyFill="1" applyBorder="1" applyAlignment="1">
      <alignment horizontal="center" vertical="center"/>
    </xf>
    <xf numFmtId="0" fontId="8" fillId="3" borderId="15" xfId="7" applyFont="1" applyFill="1" applyBorder="1" applyAlignment="1">
      <alignment horizontal="center" vertical="center"/>
    </xf>
    <xf numFmtId="0" fontId="13" fillId="2" borderId="24" xfId="7" applyFont="1" applyFill="1" applyBorder="1" applyAlignment="1">
      <alignment horizontal="center" vertical="center" textRotation="90"/>
    </xf>
    <xf numFmtId="0" fontId="23" fillId="0" borderId="23" xfId="5" applyFont="1" applyBorder="1" applyAlignment="1">
      <alignment horizontal="center"/>
    </xf>
    <xf numFmtId="0" fontId="11" fillId="0" borderId="1" xfId="5" applyFont="1" applyBorder="1" applyAlignment="1">
      <alignment horizontal="left" vertical="center" wrapText="1"/>
    </xf>
    <xf numFmtId="0" fontId="11" fillId="0" borderId="0" xfId="5" applyFont="1" applyAlignment="1">
      <alignment horizontal="left" vertical="center" wrapText="1"/>
    </xf>
    <xf numFmtId="0" fontId="17" fillId="5" borderId="20" xfId="7" applyFont="1" applyFill="1" applyBorder="1" applyAlignment="1" applyProtection="1">
      <alignment horizontal="center" vertical="center" wrapText="1"/>
      <protection hidden="1"/>
    </xf>
    <xf numFmtId="0" fontId="17" fillId="5" borderId="21" xfId="7" applyFont="1" applyFill="1" applyBorder="1" applyAlignment="1" applyProtection="1">
      <alignment horizontal="center" vertical="center" wrapText="1"/>
      <protection hidden="1"/>
    </xf>
    <xf numFmtId="0" fontId="17" fillId="4" borderId="22" xfId="7" applyFont="1" applyFill="1" applyBorder="1" applyAlignment="1" applyProtection="1">
      <alignment horizontal="center" vertical="center"/>
      <protection hidden="1"/>
    </xf>
    <xf numFmtId="0" fontId="17" fillId="4" borderId="12" xfId="7" applyFont="1" applyFill="1" applyBorder="1" applyAlignment="1" applyProtection="1">
      <alignment horizontal="center" vertical="center"/>
      <protection hidden="1"/>
    </xf>
    <xf numFmtId="0" fontId="17" fillId="4" borderId="11" xfId="7" applyFont="1" applyFill="1" applyBorder="1" applyAlignment="1" applyProtection="1">
      <alignment horizontal="center" vertical="center"/>
      <protection hidden="1"/>
    </xf>
    <xf numFmtId="0" fontId="14" fillId="3" borderId="16" xfId="7" applyFont="1" applyFill="1" applyBorder="1" applyAlignment="1" applyProtection="1">
      <alignment horizontal="center" vertical="center"/>
      <protection hidden="1"/>
    </xf>
    <xf numFmtId="0" fontId="14" fillId="3" borderId="17" xfId="7" applyFont="1" applyFill="1" applyBorder="1" applyAlignment="1" applyProtection="1">
      <alignment horizontal="center" vertical="center"/>
      <protection hidden="1"/>
    </xf>
    <xf numFmtId="0" fontId="14" fillId="3" borderId="16" xfId="7" applyFont="1" applyFill="1" applyBorder="1" applyAlignment="1" applyProtection="1">
      <alignment horizontal="center" vertical="center" wrapText="1"/>
      <protection hidden="1"/>
    </xf>
    <xf numFmtId="0" fontId="14" fillId="3" borderId="17" xfId="7" applyFont="1" applyFill="1" applyBorder="1" applyAlignment="1" applyProtection="1">
      <alignment horizontal="center" vertical="center" wrapText="1"/>
      <protection hidden="1"/>
    </xf>
  </cellXfs>
  <cellStyles count="11">
    <cellStyle name="Explanatory Text" xfId="10" builtinId="53"/>
    <cellStyle name="Followed Hyperlink" xfId="3" builtinId="9" hidden="1"/>
    <cellStyle name="Followed Hyperlink" xfId="4" builtinId="9" hidden="1"/>
    <cellStyle name="Followed Hyperlink" xfId="2" builtinId="9" hidden="1"/>
    <cellStyle name="Hyperlink" xfId="1" builtinId="8" hidden="1"/>
    <cellStyle name="Hyperlink" xfId="6" builtinId="8"/>
    <cellStyle name="Hyperlink 2" xfId="8" xr:uid="{00000000-0005-0000-0000-000006000000}"/>
    <cellStyle name="Normal" xfId="0" builtinId="0"/>
    <cellStyle name="Normal 2" xfId="5" xr:uid="{00000000-0005-0000-0000-000008000000}"/>
    <cellStyle name="Normal 3" xfId="7" xr:uid="{00000000-0005-0000-0000-000009000000}"/>
    <cellStyle name="Percent 2" xfId="9" xr:uid="{00000000-0005-0000-0000-00000A000000}"/>
  </cellStyles>
  <dxfs count="11">
    <dxf>
      <font>
        <color rgb="FFFF0000"/>
      </font>
    </dxf>
    <dxf>
      <font>
        <color rgb="FFFF0000"/>
      </font>
    </dxf>
    <dxf>
      <font>
        <color rgb="FFFF0000"/>
      </font>
    </dxf>
    <dxf>
      <fill>
        <patternFill>
          <bgColor theme="7" tint="0.59996337778862885"/>
        </patternFill>
      </fill>
    </dxf>
    <dxf>
      <fill>
        <patternFill>
          <bgColor theme="7" tint="0.59996337778862885"/>
        </patternFill>
      </fill>
    </dxf>
    <dxf>
      <font>
        <color rgb="FFFF0000"/>
      </font>
    </dxf>
    <dxf>
      <font>
        <color rgb="FFFF0000"/>
      </font>
    </dxf>
    <dxf>
      <font>
        <color rgb="FFFF0000"/>
      </font>
    </dxf>
    <dxf>
      <font>
        <color rgb="FFFF0000"/>
      </font>
    </dxf>
    <dxf>
      <font>
        <color rgb="FFFF0000"/>
      </font>
    </dxf>
    <dxf>
      <font>
        <color rgb="FFFF0000"/>
      </font>
      <fill>
        <patternFill patternType="none">
          <bgColor auto="1"/>
        </patternFill>
      </fill>
    </dxf>
  </dxfs>
  <tableStyles count="0" defaultTableStyle="TableStyleMedium9" defaultPivotStyle="PivotStyleMedium4"/>
  <colors>
    <mruColors>
      <color rgb="FF03C15A"/>
      <color rgb="FFEAEEF3"/>
      <color rgb="FFD1EEFF"/>
      <color rgb="FF007134"/>
      <color rgb="FFADC006"/>
      <color rgb="FFB3E481"/>
      <color rgb="FFA2D0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Naïve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Naïve!$D$4</c:f>
              <c:strCache>
                <c:ptCount val="1"/>
                <c:pt idx="0">
                  <c:v>ACTUAL DEMAND</c:v>
                </c:pt>
              </c:strCache>
            </c:strRef>
          </c:tx>
          <c:spPr>
            <a:ln w="28575" cap="rnd">
              <a:solidFill>
                <a:schemeClr val="accent1"/>
              </a:solidFill>
              <a:round/>
            </a:ln>
            <a:effectLst/>
          </c:spPr>
          <c:marker>
            <c:symbol val="none"/>
          </c:marker>
          <c:cat>
            <c:multiLvlStrRef>
              <c:f>Naïve!$B$6:$C$41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Naïve!$D$6:$D$41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0-3ABC-4284-A47D-39C3D06307A3}"/>
            </c:ext>
          </c:extLst>
        </c:ser>
        <c:ser>
          <c:idx val="1"/>
          <c:order val="1"/>
          <c:tx>
            <c:strRef>
              <c:f>Naïve!$E$5</c:f>
              <c:strCache>
                <c:ptCount val="1"/>
                <c:pt idx="0">
                  <c:v>FORECAST</c:v>
                </c:pt>
              </c:strCache>
            </c:strRef>
          </c:tx>
          <c:spPr>
            <a:ln w="28575" cap="rnd">
              <a:solidFill>
                <a:schemeClr val="accent2"/>
              </a:solidFill>
              <a:round/>
            </a:ln>
            <a:effectLst/>
          </c:spPr>
          <c:marker>
            <c:symbol val="none"/>
          </c:marker>
          <c:cat>
            <c:strRef>
              <c:f>Naïve!$C$6:$C$40</c:f>
              <c:strCache>
                <c:ptCount val="35"/>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strCache>
            </c:strRef>
          </c:cat>
          <c:val>
            <c:numRef>
              <c:f>Naïve!$E$6:$E$41</c:f>
              <c:numCache>
                <c:formatCode>#,##0</c:formatCode>
                <c:ptCount val="36"/>
                <c:pt idx="1">
                  <c:v>19</c:v>
                </c:pt>
                <c:pt idx="2">
                  <c:v>24</c:v>
                </c:pt>
                <c:pt idx="3">
                  <c:v>30</c:v>
                </c:pt>
                <c:pt idx="4">
                  <c:v>32</c:v>
                </c:pt>
                <c:pt idx="5">
                  <c:v>29</c:v>
                </c:pt>
                <c:pt idx="6">
                  <c:v>33</c:v>
                </c:pt>
                <c:pt idx="7">
                  <c:v>34</c:v>
                </c:pt>
                <c:pt idx="8">
                  <c:v>29</c:v>
                </c:pt>
                <c:pt idx="9">
                  <c:v>29</c:v>
                </c:pt>
                <c:pt idx="10">
                  <c:v>32</c:v>
                </c:pt>
                <c:pt idx="11">
                  <c:v>31</c:v>
                </c:pt>
                <c:pt idx="12">
                  <c:v>25</c:v>
                </c:pt>
                <c:pt idx="13">
                  <c:v>25</c:v>
                </c:pt>
                <c:pt idx="14">
                  <c:v>25</c:v>
                </c:pt>
                <c:pt idx="15">
                  <c:v>28</c:v>
                </c:pt>
                <c:pt idx="16">
                  <c:v>30</c:v>
                </c:pt>
                <c:pt idx="17">
                  <c:v>30</c:v>
                </c:pt>
                <c:pt idx="18">
                  <c:v>32</c:v>
                </c:pt>
                <c:pt idx="19">
                  <c:v>39</c:v>
                </c:pt>
                <c:pt idx="20">
                  <c:v>38</c:v>
                </c:pt>
                <c:pt idx="21">
                  <c:v>37</c:v>
                </c:pt>
                <c:pt idx="22">
                  <c:v>40</c:v>
                </c:pt>
                <c:pt idx="23">
                  <c:v>40</c:v>
                </c:pt>
                <c:pt idx="24">
                  <c:v>33</c:v>
                </c:pt>
                <c:pt idx="25">
                  <c:v>35</c:v>
                </c:pt>
                <c:pt idx="26">
                  <c:v>31</c:v>
                </c:pt>
                <c:pt idx="27">
                  <c:v>33</c:v>
                </c:pt>
                <c:pt idx="28">
                  <c:v>40</c:v>
                </c:pt>
                <c:pt idx="29">
                  <c:v>38</c:v>
                </c:pt>
                <c:pt idx="30">
                  <c:v>36</c:v>
                </c:pt>
                <c:pt idx="31">
                  <c:v>35</c:v>
                </c:pt>
                <c:pt idx="32">
                  <c:v>29</c:v>
                </c:pt>
                <c:pt idx="33">
                  <c:v>25</c:v>
                </c:pt>
                <c:pt idx="34">
                  <c:v>30</c:v>
                </c:pt>
                <c:pt idx="35">
                  <c:v>33</c:v>
                </c:pt>
              </c:numCache>
            </c:numRef>
          </c:val>
          <c:smooth val="0"/>
          <c:extLst>
            <c:ext xmlns:c16="http://schemas.microsoft.com/office/drawing/2014/chart" uri="{C3380CC4-5D6E-409C-BE32-E72D297353CC}">
              <c16:uniqueId val="{00000001-3ABC-4284-A47D-39C3D06307A3}"/>
            </c:ext>
          </c:extLst>
        </c:ser>
        <c:dLbls>
          <c:showLegendKey val="0"/>
          <c:showVal val="0"/>
          <c:showCatName val="0"/>
          <c:showSerName val="0"/>
          <c:showPercent val="0"/>
          <c:showBubbleSize val="0"/>
        </c:dLbls>
        <c:smooth val="0"/>
        <c:axId val="1117771056"/>
        <c:axId val="1117785616"/>
      </c:lineChart>
      <c:catAx>
        <c:axId val="1117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5616"/>
        <c:crosses val="autoZero"/>
        <c:auto val="1"/>
        <c:lblAlgn val="ctr"/>
        <c:lblOffset val="100"/>
        <c:noMultiLvlLbl val="0"/>
      </c:catAx>
      <c:valAx>
        <c:axId val="111778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Naïve with Trend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'Naïve with Trend'!$D$4:$D$5</c:f>
              <c:strCache>
                <c:ptCount val="2"/>
                <c:pt idx="0">
                  <c:v>ACTUAL DEMAND</c:v>
                </c:pt>
              </c:strCache>
            </c:strRef>
          </c:tx>
          <c:spPr>
            <a:ln w="28575" cap="rnd">
              <a:solidFill>
                <a:schemeClr val="accent1"/>
              </a:solidFill>
              <a:round/>
            </a:ln>
            <a:effectLst/>
          </c:spPr>
          <c:marker>
            <c:symbol val="none"/>
          </c:marker>
          <c:cat>
            <c:multiLvlStrRef>
              <c:f>'Naïve with Trend'!$B$6:$C$41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'Naïve with Trend'!$D$6:$D$41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1-DE92-44A6-8FDE-FB707B84DB1C}"/>
            </c:ext>
          </c:extLst>
        </c:ser>
        <c:ser>
          <c:idx val="1"/>
          <c:order val="1"/>
          <c:tx>
            <c:strRef>
              <c:f>'Naïve with Trend'!$E$5</c:f>
              <c:strCache>
                <c:ptCount val="1"/>
                <c:pt idx="0">
                  <c:v>FORECAST</c:v>
                </c:pt>
              </c:strCache>
            </c:strRef>
          </c:tx>
          <c:spPr>
            <a:ln w="28575" cap="rnd">
              <a:solidFill>
                <a:schemeClr val="accent2"/>
              </a:solidFill>
              <a:round/>
            </a:ln>
            <a:effectLst/>
          </c:spPr>
          <c:marker>
            <c:symbol val="none"/>
          </c:marker>
          <c:cat>
            <c:multiLvlStrRef>
              <c:f>'Naïve with Trend'!$B$6:$C$41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'Naïve with Trend'!$E$6:$E$41</c:f>
              <c:numCache>
                <c:formatCode>#,##0</c:formatCode>
                <c:ptCount val="36"/>
                <c:pt idx="2">
                  <c:v>29</c:v>
                </c:pt>
                <c:pt idx="3">
                  <c:v>36</c:v>
                </c:pt>
                <c:pt idx="4">
                  <c:v>34</c:v>
                </c:pt>
                <c:pt idx="5">
                  <c:v>26</c:v>
                </c:pt>
                <c:pt idx="6">
                  <c:v>37</c:v>
                </c:pt>
                <c:pt idx="7">
                  <c:v>35</c:v>
                </c:pt>
                <c:pt idx="8">
                  <c:v>24</c:v>
                </c:pt>
                <c:pt idx="9">
                  <c:v>29</c:v>
                </c:pt>
                <c:pt idx="10">
                  <c:v>35</c:v>
                </c:pt>
                <c:pt idx="11">
                  <c:v>30</c:v>
                </c:pt>
                <c:pt idx="12">
                  <c:v>19</c:v>
                </c:pt>
                <c:pt idx="13">
                  <c:v>25</c:v>
                </c:pt>
                <c:pt idx="14">
                  <c:v>25</c:v>
                </c:pt>
                <c:pt idx="15">
                  <c:v>31</c:v>
                </c:pt>
                <c:pt idx="16">
                  <c:v>32</c:v>
                </c:pt>
                <c:pt idx="17">
                  <c:v>30</c:v>
                </c:pt>
                <c:pt idx="18">
                  <c:v>34</c:v>
                </c:pt>
                <c:pt idx="19">
                  <c:v>46</c:v>
                </c:pt>
                <c:pt idx="20">
                  <c:v>37</c:v>
                </c:pt>
                <c:pt idx="21">
                  <c:v>36</c:v>
                </c:pt>
                <c:pt idx="22">
                  <c:v>43</c:v>
                </c:pt>
                <c:pt idx="23">
                  <c:v>40</c:v>
                </c:pt>
                <c:pt idx="24">
                  <c:v>26</c:v>
                </c:pt>
                <c:pt idx="25">
                  <c:v>37</c:v>
                </c:pt>
                <c:pt idx="26">
                  <c:v>27</c:v>
                </c:pt>
                <c:pt idx="27">
                  <c:v>35</c:v>
                </c:pt>
                <c:pt idx="28">
                  <c:v>47</c:v>
                </c:pt>
                <c:pt idx="29">
                  <c:v>36</c:v>
                </c:pt>
                <c:pt idx="30">
                  <c:v>34</c:v>
                </c:pt>
                <c:pt idx="31">
                  <c:v>34</c:v>
                </c:pt>
                <c:pt idx="32">
                  <c:v>23</c:v>
                </c:pt>
                <c:pt idx="33">
                  <c:v>21</c:v>
                </c:pt>
                <c:pt idx="34">
                  <c:v>35</c:v>
                </c:pt>
                <c:pt idx="35">
                  <c:v>36</c:v>
                </c:pt>
              </c:numCache>
            </c:numRef>
          </c:val>
          <c:smooth val="0"/>
          <c:extLst>
            <c:ext xmlns:c16="http://schemas.microsoft.com/office/drawing/2014/chart" uri="{C3380CC4-5D6E-409C-BE32-E72D297353CC}">
              <c16:uniqueId val="{00000000-DE92-44A6-8FDE-FB707B84DB1C}"/>
            </c:ext>
          </c:extLst>
        </c:ser>
        <c:dLbls>
          <c:showLegendKey val="0"/>
          <c:showVal val="0"/>
          <c:showCatName val="0"/>
          <c:showSerName val="0"/>
          <c:showPercent val="0"/>
          <c:showBubbleSize val="0"/>
        </c:dLbls>
        <c:smooth val="0"/>
        <c:axId val="1117771056"/>
        <c:axId val="1117785616"/>
      </c:lineChart>
      <c:catAx>
        <c:axId val="1117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5616"/>
        <c:crosses val="autoZero"/>
        <c:auto val="1"/>
        <c:lblAlgn val="ctr"/>
        <c:lblOffset val="100"/>
        <c:noMultiLvlLbl val="0"/>
      </c:catAx>
      <c:valAx>
        <c:axId val="111778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Naïve with Seasonality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'Naïve with Seasonality'!$D$4:$D$5</c:f>
              <c:strCache>
                <c:ptCount val="2"/>
                <c:pt idx="0">
                  <c:v>ACTUAL DEMAND</c:v>
                </c:pt>
              </c:strCache>
            </c:strRef>
          </c:tx>
          <c:spPr>
            <a:ln w="28575" cap="rnd">
              <a:solidFill>
                <a:schemeClr val="accent1"/>
              </a:solidFill>
              <a:round/>
            </a:ln>
            <a:effectLst/>
          </c:spPr>
          <c:marker>
            <c:symbol val="none"/>
          </c:marker>
          <c:cat>
            <c:multiLvlStrRef>
              <c:f>'Naïve with Seasonality'!$B$6:$C$41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'Naïve with Seasonality'!$D$6:$D$41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1-61AC-47F6-B2F8-E9938424097C}"/>
            </c:ext>
          </c:extLst>
        </c:ser>
        <c:ser>
          <c:idx val="1"/>
          <c:order val="1"/>
          <c:tx>
            <c:strRef>
              <c:f>'Naïve with Seasonality'!$E$5</c:f>
              <c:strCache>
                <c:ptCount val="1"/>
                <c:pt idx="0">
                  <c:v>FORECAST</c:v>
                </c:pt>
              </c:strCache>
            </c:strRef>
          </c:tx>
          <c:spPr>
            <a:ln w="28575" cap="rnd">
              <a:solidFill>
                <a:schemeClr val="accent2"/>
              </a:solidFill>
              <a:round/>
            </a:ln>
            <a:effectLst/>
          </c:spPr>
          <c:marker>
            <c:symbol val="none"/>
          </c:marker>
          <c:cat>
            <c:strRef>
              <c:f>'Naïve with Seasonality'!$C$6:$C$40</c:f>
              <c:strCache>
                <c:ptCount val="35"/>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strCache>
            </c:strRef>
          </c:cat>
          <c:val>
            <c:numRef>
              <c:f>'Naïve with Seasonality'!$E$6:$E$41</c:f>
              <c:numCache>
                <c:formatCode>#,##0</c:formatCode>
                <c:ptCount val="36"/>
                <c:pt idx="12">
                  <c:v>19</c:v>
                </c:pt>
                <c:pt idx="13">
                  <c:v>24</c:v>
                </c:pt>
                <c:pt idx="14">
                  <c:v>30</c:v>
                </c:pt>
                <c:pt idx="15">
                  <c:v>32</c:v>
                </c:pt>
                <c:pt idx="16">
                  <c:v>29</c:v>
                </c:pt>
                <c:pt idx="17">
                  <c:v>33</c:v>
                </c:pt>
                <c:pt idx="18">
                  <c:v>34</c:v>
                </c:pt>
                <c:pt idx="19">
                  <c:v>29</c:v>
                </c:pt>
                <c:pt idx="20">
                  <c:v>29</c:v>
                </c:pt>
                <c:pt idx="21">
                  <c:v>32</c:v>
                </c:pt>
                <c:pt idx="22">
                  <c:v>31</c:v>
                </c:pt>
                <c:pt idx="23">
                  <c:v>25</c:v>
                </c:pt>
                <c:pt idx="24">
                  <c:v>25</c:v>
                </c:pt>
                <c:pt idx="25">
                  <c:v>25</c:v>
                </c:pt>
                <c:pt idx="26">
                  <c:v>28</c:v>
                </c:pt>
                <c:pt idx="27">
                  <c:v>30</c:v>
                </c:pt>
                <c:pt idx="28">
                  <c:v>30</c:v>
                </c:pt>
                <c:pt idx="29">
                  <c:v>32</c:v>
                </c:pt>
                <c:pt idx="30">
                  <c:v>39</c:v>
                </c:pt>
                <c:pt idx="31">
                  <c:v>38</c:v>
                </c:pt>
                <c:pt idx="32">
                  <c:v>37</c:v>
                </c:pt>
                <c:pt idx="33">
                  <c:v>40</c:v>
                </c:pt>
                <c:pt idx="34">
                  <c:v>40</c:v>
                </c:pt>
                <c:pt idx="35">
                  <c:v>33</c:v>
                </c:pt>
              </c:numCache>
            </c:numRef>
          </c:val>
          <c:smooth val="0"/>
          <c:extLst>
            <c:ext xmlns:c16="http://schemas.microsoft.com/office/drawing/2014/chart" uri="{C3380CC4-5D6E-409C-BE32-E72D297353CC}">
              <c16:uniqueId val="{00000000-61AC-47F6-B2F8-E9938424097C}"/>
            </c:ext>
          </c:extLst>
        </c:ser>
        <c:dLbls>
          <c:showLegendKey val="0"/>
          <c:showVal val="0"/>
          <c:showCatName val="0"/>
          <c:showSerName val="0"/>
          <c:showPercent val="0"/>
          <c:showBubbleSize val="0"/>
        </c:dLbls>
        <c:smooth val="0"/>
        <c:axId val="1117771056"/>
        <c:axId val="1117785616"/>
      </c:lineChart>
      <c:catAx>
        <c:axId val="1117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5616"/>
        <c:crosses val="autoZero"/>
        <c:auto val="1"/>
        <c:lblAlgn val="ctr"/>
        <c:lblOffset val="100"/>
        <c:noMultiLvlLbl val="0"/>
      </c:catAx>
      <c:valAx>
        <c:axId val="111778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1145596825115213E-2"/>
          <c:y val="1.1895007439175679E-2"/>
          <c:w val="0.95456095531389362"/>
          <c:h val="0.76214009523850124"/>
        </c:manualLayout>
      </c:layout>
      <c:lineChart>
        <c:grouping val="standard"/>
        <c:varyColors val="0"/>
        <c:ser>
          <c:idx val="0"/>
          <c:order val="0"/>
          <c:tx>
            <c:strRef>
              <c:f>'Naïve with Seasonality'!$D$4:$D$5</c:f>
              <c:strCache>
                <c:ptCount val="2"/>
                <c:pt idx="0">
                  <c:v>ACTUAL DEMAND</c:v>
                </c:pt>
              </c:strCache>
            </c:strRef>
          </c:tx>
          <c:spPr>
            <a:ln w="28575" cap="rnd">
              <a:solidFill>
                <a:schemeClr val="accent1"/>
              </a:solidFill>
              <a:round/>
            </a:ln>
            <a:effectLst/>
          </c:spPr>
          <c:marker>
            <c:symbol val="none"/>
          </c:marker>
          <c:cat>
            <c:multiLvlStrRef>
              <c:f>'Naïve with Seasonality'!$B$6:$C$41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'Naïve with Seasonality'!$D$6:$D$41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0-930E-4A58-A65B-1B8FF5EB4B69}"/>
            </c:ext>
          </c:extLst>
        </c:ser>
        <c:ser>
          <c:idx val="1"/>
          <c:order val="1"/>
          <c:tx>
            <c:strRef>
              <c:f>'Naïve with Seasonality'!$E$5</c:f>
              <c:strCache>
                <c:ptCount val="1"/>
                <c:pt idx="0">
                  <c:v>FORECAST</c:v>
                </c:pt>
              </c:strCache>
            </c:strRef>
          </c:tx>
          <c:spPr>
            <a:ln w="28575" cap="rnd">
              <a:solidFill>
                <a:schemeClr val="accent2"/>
              </a:solidFill>
              <a:round/>
            </a:ln>
            <a:effectLst/>
          </c:spPr>
          <c:marker>
            <c:symbol val="none"/>
          </c:marker>
          <c:val>
            <c:numRef>
              <c:f>'Naïve with Seasonality'!$E$6:$E$41</c:f>
              <c:numCache>
                <c:formatCode>#,##0</c:formatCode>
                <c:ptCount val="36"/>
                <c:pt idx="12">
                  <c:v>19</c:v>
                </c:pt>
                <c:pt idx="13">
                  <c:v>24</c:v>
                </c:pt>
                <c:pt idx="14">
                  <c:v>30</c:v>
                </c:pt>
                <c:pt idx="15">
                  <c:v>32</c:v>
                </c:pt>
                <c:pt idx="16">
                  <c:v>29</c:v>
                </c:pt>
                <c:pt idx="17">
                  <c:v>33</c:v>
                </c:pt>
                <c:pt idx="18">
                  <c:v>34</c:v>
                </c:pt>
                <c:pt idx="19">
                  <c:v>29</c:v>
                </c:pt>
                <c:pt idx="20">
                  <c:v>29</c:v>
                </c:pt>
                <c:pt idx="21">
                  <c:v>32</c:v>
                </c:pt>
                <c:pt idx="22">
                  <c:v>31</c:v>
                </c:pt>
                <c:pt idx="23">
                  <c:v>25</c:v>
                </c:pt>
                <c:pt idx="24">
                  <c:v>25</c:v>
                </c:pt>
                <c:pt idx="25">
                  <c:v>25</c:v>
                </c:pt>
                <c:pt idx="26">
                  <c:v>28</c:v>
                </c:pt>
                <c:pt idx="27">
                  <c:v>30</c:v>
                </c:pt>
                <c:pt idx="28">
                  <c:v>30</c:v>
                </c:pt>
                <c:pt idx="29">
                  <c:v>32</c:v>
                </c:pt>
                <c:pt idx="30">
                  <c:v>39</c:v>
                </c:pt>
                <c:pt idx="31">
                  <c:v>38</c:v>
                </c:pt>
                <c:pt idx="32">
                  <c:v>37</c:v>
                </c:pt>
                <c:pt idx="33">
                  <c:v>40</c:v>
                </c:pt>
                <c:pt idx="34">
                  <c:v>40</c:v>
                </c:pt>
                <c:pt idx="35">
                  <c:v>33</c:v>
                </c:pt>
              </c:numCache>
            </c:numRef>
          </c:val>
          <c:smooth val="0"/>
          <c:extLst>
            <c:ext xmlns:c16="http://schemas.microsoft.com/office/drawing/2014/chart" uri="{C3380CC4-5D6E-409C-BE32-E72D297353CC}">
              <c16:uniqueId val="{00000001-930E-4A58-A65B-1B8FF5EB4B69}"/>
            </c:ext>
          </c:extLst>
        </c:ser>
        <c:dLbls>
          <c:showLegendKey val="0"/>
          <c:showVal val="0"/>
          <c:showCatName val="0"/>
          <c:showSerName val="0"/>
          <c:showPercent val="0"/>
          <c:showBubbleSize val="0"/>
        </c:dLbls>
        <c:smooth val="0"/>
        <c:axId val="502425080"/>
        <c:axId val="502424096"/>
      </c:lineChart>
      <c:catAx>
        <c:axId val="50242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4096"/>
        <c:crosses val="autoZero"/>
        <c:auto val="1"/>
        <c:lblAlgn val="ctr"/>
        <c:lblOffset val="100"/>
        <c:noMultiLvlLbl val="0"/>
      </c:catAx>
      <c:valAx>
        <c:axId val="502424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5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Moving Average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'Moving Average'!$D$4:$D$5</c:f>
              <c:strCache>
                <c:ptCount val="2"/>
                <c:pt idx="0">
                  <c:v>ACTUAL DEMAND</c:v>
                </c:pt>
              </c:strCache>
            </c:strRef>
          </c:tx>
          <c:spPr>
            <a:ln w="28575" cap="rnd">
              <a:solidFill>
                <a:schemeClr val="accent1"/>
              </a:solidFill>
              <a:round/>
            </a:ln>
            <a:effectLst/>
          </c:spPr>
          <c:marker>
            <c:symbol val="none"/>
          </c:marker>
          <c:cat>
            <c:multiLvlStrRef>
              <c:f>'Moving Average'!$B$6:$C$41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'Moving Average'!$D$6:$D$41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1-E15E-4414-93DA-4A50C3AD16CE}"/>
            </c:ext>
          </c:extLst>
        </c:ser>
        <c:ser>
          <c:idx val="1"/>
          <c:order val="1"/>
          <c:tx>
            <c:strRef>
              <c:f>'Moving Average'!$E$5</c:f>
              <c:strCache>
                <c:ptCount val="1"/>
                <c:pt idx="0">
                  <c:v>FORECAST</c:v>
                </c:pt>
              </c:strCache>
            </c:strRef>
          </c:tx>
          <c:spPr>
            <a:ln w="28575" cap="rnd">
              <a:solidFill>
                <a:schemeClr val="accent2"/>
              </a:solidFill>
              <a:round/>
            </a:ln>
            <a:effectLst/>
          </c:spPr>
          <c:marker>
            <c:symbol val="none"/>
          </c:marker>
          <c:cat>
            <c:multiLvlStrRef>
              <c:f>'Moving Average'!$B$6:$C$40</c:f>
              <c:multiLvlStrCache>
                <c:ptCount val="35"/>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lvl>
                <c:lvl>
                  <c:pt idx="0">
                    <c:v>2023</c:v>
                  </c:pt>
                  <c:pt idx="12">
                    <c:v>2024</c:v>
                  </c:pt>
                  <c:pt idx="24">
                    <c:v>2025</c:v>
                  </c:pt>
                </c:lvl>
              </c:multiLvlStrCache>
            </c:multiLvlStrRef>
          </c:cat>
          <c:val>
            <c:numRef>
              <c:f>'Moving Average'!$E$6:$E$41</c:f>
              <c:numCache>
                <c:formatCode>#,##0</c:formatCode>
                <c:ptCount val="36"/>
                <c:pt idx="3" formatCode="#,##0.00">
                  <c:v>24.333333333333332</c:v>
                </c:pt>
                <c:pt idx="4" formatCode="#,##0.00">
                  <c:v>28.666666666666668</c:v>
                </c:pt>
                <c:pt idx="5" formatCode="#,##0.00">
                  <c:v>30.333333333333332</c:v>
                </c:pt>
                <c:pt idx="6" formatCode="#,##0.00">
                  <c:v>31.333333333333332</c:v>
                </c:pt>
                <c:pt idx="7" formatCode="#,##0.00">
                  <c:v>32</c:v>
                </c:pt>
                <c:pt idx="8" formatCode="#,##0.00">
                  <c:v>32</c:v>
                </c:pt>
                <c:pt idx="9" formatCode="#,##0.00">
                  <c:v>30.666666666666668</c:v>
                </c:pt>
                <c:pt idx="10" formatCode="#,##0.00">
                  <c:v>30</c:v>
                </c:pt>
                <c:pt idx="11" formatCode="#,##0.00">
                  <c:v>30.666666666666668</c:v>
                </c:pt>
                <c:pt idx="12" formatCode="#,##0.00">
                  <c:v>29.333333333333332</c:v>
                </c:pt>
                <c:pt idx="13" formatCode="#,##0.00">
                  <c:v>27</c:v>
                </c:pt>
                <c:pt idx="14" formatCode="#,##0.00">
                  <c:v>25</c:v>
                </c:pt>
                <c:pt idx="15" formatCode="#,##0.00">
                  <c:v>26</c:v>
                </c:pt>
                <c:pt idx="16" formatCode="#,##0.00">
                  <c:v>27.666666666666668</c:v>
                </c:pt>
                <c:pt idx="17" formatCode="#,##0.00">
                  <c:v>29.333333333333332</c:v>
                </c:pt>
                <c:pt idx="18" formatCode="#,##0.00">
                  <c:v>30.666666666666668</c:v>
                </c:pt>
                <c:pt idx="19" formatCode="#,##0.00">
                  <c:v>33.666666666666664</c:v>
                </c:pt>
                <c:pt idx="20" formatCode="#,##0.00">
                  <c:v>36.333333333333336</c:v>
                </c:pt>
                <c:pt idx="21" formatCode="#,##0.00">
                  <c:v>38</c:v>
                </c:pt>
                <c:pt idx="22" formatCode="#,##0.00">
                  <c:v>38.333333333333336</c:v>
                </c:pt>
                <c:pt idx="23" formatCode="#,##0.00">
                  <c:v>39</c:v>
                </c:pt>
                <c:pt idx="24" formatCode="#,##0.00">
                  <c:v>37.666666666666664</c:v>
                </c:pt>
                <c:pt idx="25" formatCode="#,##0.00">
                  <c:v>36</c:v>
                </c:pt>
                <c:pt idx="26" formatCode="#,##0.00">
                  <c:v>33</c:v>
                </c:pt>
                <c:pt idx="27" formatCode="#,##0.00">
                  <c:v>33</c:v>
                </c:pt>
                <c:pt idx="28" formatCode="#,##0.00">
                  <c:v>34.666666666666664</c:v>
                </c:pt>
                <c:pt idx="29" formatCode="#,##0.00">
                  <c:v>37</c:v>
                </c:pt>
                <c:pt idx="30" formatCode="#,##0.00">
                  <c:v>38</c:v>
                </c:pt>
                <c:pt idx="31" formatCode="#,##0.00">
                  <c:v>36.333333333333336</c:v>
                </c:pt>
                <c:pt idx="32" formatCode="#,##0.00">
                  <c:v>33.333333333333336</c:v>
                </c:pt>
                <c:pt idx="33" formatCode="#,##0.00">
                  <c:v>29.666666666666668</c:v>
                </c:pt>
                <c:pt idx="34" formatCode="#,##0.00">
                  <c:v>28</c:v>
                </c:pt>
                <c:pt idx="35" formatCode="#,##0.00">
                  <c:v>29.333333333333332</c:v>
                </c:pt>
              </c:numCache>
            </c:numRef>
          </c:val>
          <c:smooth val="0"/>
          <c:extLst>
            <c:ext xmlns:c16="http://schemas.microsoft.com/office/drawing/2014/chart" uri="{C3380CC4-5D6E-409C-BE32-E72D297353CC}">
              <c16:uniqueId val="{00000000-E15E-4414-93DA-4A50C3AD16CE}"/>
            </c:ext>
          </c:extLst>
        </c:ser>
        <c:dLbls>
          <c:showLegendKey val="0"/>
          <c:showVal val="0"/>
          <c:showCatName val="0"/>
          <c:showSerName val="0"/>
          <c:showPercent val="0"/>
          <c:showBubbleSize val="0"/>
        </c:dLbls>
        <c:smooth val="0"/>
        <c:axId val="1117771056"/>
        <c:axId val="1117785616"/>
      </c:lineChart>
      <c:catAx>
        <c:axId val="1117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5616"/>
        <c:crosses val="autoZero"/>
        <c:auto val="1"/>
        <c:lblAlgn val="ctr"/>
        <c:lblOffset val="100"/>
        <c:noMultiLvlLbl val="0"/>
      </c:catAx>
      <c:valAx>
        <c:axId val="111778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Smoothing Forecasting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'Exponential Smoothing'!$D$4:$D$5</c:f>
              <c:strCache>
                <c:ptCount val="2"/>
                <c:pt idx="0">
                  <c:v>ACTUAL DEMAND</c:v>
                </c:pt>
              </c:strCache>
            </c:strRef>
          </c:tx>
          <c:spPr>
            <a:ln w="28575" cap="rnd">
              <a:solidFill>
                <a:schemeClr val="accent1"/>
              </a:solidFill>
              <a:round/>
            </a:ln>
            <a:effectLst/>
          </c:spPr>
          <c:marker>
            <c:symbol val="none"/>
          </c:marker>
          <c:cat>
            <c:multiLvlStrRef>
              <c:f>'Exponential Smoothing'!$B$6:$C$41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'Exponential Smoothing'!$D$6:$D$41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1-C051-45D5-B614-15026892D575}"/>
            </c:ext>
          </c:extLst>
        </c:ser>
        <c:ser>
          <c:idx val="1"/>
          <c:order val="1"/>
          <c:tx>
            <c:strRef>
              <c:f>'Exponential Smoothing'!$E$5</c:f>
              <c:strCache>
                <c:ptCount val="1"/>
                <c:pt idx="0">
                  <c:v>FORECAST</c:v>
                </c:pt>
              </c:strCache>
            </c:strRef>
          </c:tx>
          <c:spPr>
            <a:ln w="28575" cap="rnd">
              <a:solidFill>
                <a:schemeClr val="accent2"/>
              </a:solidFill>
              <a:round/>
            </a:ln>
            <a:effectLst/>
          </c:spPr>
          <c:marker>
            <c:symbol val="none"/>
          </c:marker>
          <c:cat>
            <c:multiLvlStrRef>
              <c:f>'Exponential Smoothing'!$B$6:$C$41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'Exponential Smoothing'!$E$6:$E$41</c:f>
              <c:numCache>
                <c:formatCode>#,##0.00</c:formatCode>
                <c:ptCount val="36"/>
                <c:pt idx="0">
                  <c:v>25</c:v>
                </c:pt>
                <c:pt idx="1">
                  <c:v>22</c:v>
                </c:pt>
                <c:pt idx="2">
                  <c:v>23</c:v>
                </c:pt>
                <c:pt idx="3">
                  <c:v>26.5</c:v>
                </c:pt>
                <c:pt idx="4">
                  <c:v>29.25</c:v>
                </c:pt>
                <c:pt idx="5">
                  <c:v>29.125</c:v>
                </c:pt>
                <c:pt idx="6">
                  <c:v>31.0625</c:v>
                </c:pt>
                <c:pt idx="7">
                  <c:v>32.53125</c:v>
                </c:pt>
                <c:pt idx="8">
                  <c:v>30.765625</c:v>
                </c:pt>
                <c:pt idx="9">
                  <c:v>29.8828125</c:v>
                </c:pt>
                <c:pt idx="10">
                  <c:v>30.94140625</c:v>
                </c:pt>
                <c:pt idx="11">
                  <c:v>30.970703125</c:v>
                </c:pt>
                <c:pt idx="12">
                  <c:v>27.9853515625</c:v>
                </c:pt>
                <c:pt idx="13">
                  <c:v>26.49267578125</c:v>
                </c:pt>
                <c:pt idx="14">
                  <c:v>25.746337890625</c:v>
                </c:pt>
                <c:pt idx="15">
                  <c:v>26.8731689453125</c:v>
                </c:pt>
                <c:pt idx="16">
                  <c:v>28.43658447265625</c:v>
                </c:pt>
                <c:pt idx="17">
                  <c:v>29.218292236328125</c:v>
                </c:pt>
                <c:pt idx="18">
                  <c:v>30.609146118164063</c:v>
                </c:pt>
                <c:pt idx="19">
                  <c:v>34.804573059082031</c:v>
                </c:pt>
                <c:pt idx="20">
                  <c:v>36.402286529541016</c:v>
                </c:pt>
                <c:pt idx="21">
                  <c:v>36.701143264770508</c:v>
                </c:pt>
                <c:pt idx="22">
                  <c:v>38.350571632385254</c:v>
                </c:pt>
                <c:pt idx="23">
                  <c:v>39.175285816192627</c:v>
                </c:pt>
                <c:pt idx="24">
                  <c:v>36.087642908096313</c:v>
                </c:pt>
                <c:pt idx="25">
                  <c:v>35.543821454048157</c:v>
                </c:pt>
                <c:pt idx="26">
                  <c:v>33.271910727024078</c:v>
                </c:pt>
                <c:pt idx="27">
                  <c:v>33.135955363512039</c:v>
                </c:pt>
                <c:pt idx="28">
                  <c:v>36.56797768175602</c:v>
                </c:pt>
                <c:pt idx="29">
                  <c:v>37.28398884087801</c:v>
                </c:pt>
                <c:pt idx="30">
                  <c:v>36.641994420439005</c:v>
                </c:pt>
                <c:pt idx="31">
                  <c:v>35.820997210219502</c:v>
                </c:pt>
                <c:pt idx="32">
                  <c:v>32.410498605109751</c:v>
                </c:pt>
                <c:pt idx="33">
                  <c:v>28.705249302554876</c:v>
                </c:pt>
                <c:pt idx="34">
                  <c:v>29.352624651277438</c:v>
                </c:pt>
                <c:pt idx="35">
                  <c:v>31.176312325638719</c:v>
                </c:pt>
              </c:numCache>
            </c:numRef>
          </c:val>
          <c:smooth val="0"/>
          <c:extLst>
            <c:ext xmlns:c16="http://schemas.microsoft.com/office/drawing/2014/chart" uri="{C3380CC4-5D6E-409C-BE32-E72D297353CC}">
              <c16:uniqueId val="{00000000-C051-45D5-B614-15026892D575}"/>
            </c:ext>
          </c:extLst>
        </c:ser>
        <c:dLbls>
          <c:showLegendKey val="0"/>
          <c:showVal val="0"/>
          <c:showCatName val="0"/>
          <c:showSerName val="0"/>
          <c:showPercent val="0"/>
          <c:showBubbleSize val="0"/>
        </c:dLbls>
        <c:smooth val="0"/>
        <c:axId val="1117771056"/>
        <c:axId val="1117785616"/>
      </c:lineChart>
      <c:catAx>
        <c:axId val="1117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5616"/>
        <c:crosses val="autoZero"/>
        <c:auto val="1"/>
        <c:lblAlgn val="ctr"/>
        <c:lblOffset val="100"/>
        <c:noMultiLvlLbl val="0"/>
      </c:catAx>
      <c:valAx>
        <c:axId val="111778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Linear Regression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'Linear Regression'!$D$4:$D$5</c:f>
              <c:strCache>
                <c:ptCount val="2"/>
                <c:pt idx="0">
                  <c:v>ACTUAL DEMAND</c:v>
                </c:pt>
              </c:strCache>
            </c:strRef>
          </c:tx>
          <c:spPr>
            <a:ln w="28575" cap="rnd">
              <a:solidFill>
                <a:schemeClr val="accent1"/>
              </a:solidFill>
              <a:round/>
            </a:ln>
            <a:effectLst/>
          </c:spPr>
          <c:marker>
            <c:symbol val="none"/>
          </c:marker>
          <c:cat>
            <c:multiLvlStrRef>
              <c:f>'Linear Regression'!$B$6:$C$41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'Linear Regression'!$D$6:$D$41</c:f>
              <c:numCache>
                <c:formatCode>0</c:formatCode>
                <c:ptCount val="36"/>
                <c:pt idx="0">
                  <c:v>19</c:v>
                </c:pt>
                <c:pt idx="1">
                  <c:v>24</c:v>
                </c:pt>
                <c:pt idx="2">
                  <c:v>30</c:v>
                </c:pt>
                <c:pt idx="3">
                  <c:v>32</c:v>
                </c:pt>
                <c:pt idx="4">
                  <c:v>29</c:v>
                </c:pt>
                <c:pt idx="5">
                  <c:v>33</c:v>
                </c:pt>
                <c:pt idx="6">
                  <c:v>34</c:v>
                </c:pt>
                <c:pt idx="7">
                  <c:v>29</c:v>
                </c:pt>
                <c:pt idx="8">
                  <c:v>29</c:v>
                </c:pt>
                <c:pt idx="9">
                  <c:v>32</c:v>
                </c:pt>
                <c:pt idx="10">
                  <c:v>31</c:v>
                </c:pt>
                <c:pt idx="11">
                  <c:v>25</c:v>
                </c:pt>
                <c:pt idx="12">
                  <c:v>25</c:v>
                </c:pt>
                <c:pt idx="13">
                  <c:v>25</c:v>
                </c:pt>
                <c:pt idx="14">
                  <c:v>28</c:v>
                </c:pt>
                <c:pt idx="15">
                  <c:v>30</c:v>
                </c:pt>
                <c:pt idx="16">
                  <c:v>30</c:v>
                </c:pt>
                <c:pt idx="17">
                  <c:v>32</c:v>
                </c:pt>
                <c:pt idx="18">
                  <c:v>39</c:v>
                </c:pt>
                <c:pt idx="19">
                  <c:v>38</c:v>
                </c:pt>
                <c:pt idx="20">
                  <c:v>37</c:v>
                </c:pt>
                <c:pt idx="21">
                  <c:v>40</c:v>
                </c:pt>
                <c:pt idx="22">
                  <c:v>40</c:v>
                </c:pt>
                <c:pt idx="23">
                  <c:v>33</c:v>
                </c:pt>
                <c:pt idx="24">
                  <c:v>35</c:v>
                </c:pt>
                <c:pt idx="25">
                  <c:v>31</c:v>
                </c:pt>
                <c:pt idx="26">
                  <c:v>33</c:v>
                </c:pt>
                <c:pt idx="27">
                  <c:v>40</c:v>
                </c:pt>
                <c:pt idx="28">
                  <c:v>38</c:v>
                </c:pt>
                <c:pt idx="29">
                  <c:v>36</c:v>
                </c:pt>
                <c:pt idx="30">
                  <c:v>35</c:v>
                </c:pt>
                <c:pt idx="31">
                  <c:v>29</c:v>
                </c:pt>
                <c:pt idx="32">
                  <c:v>25</c:v>
                </c:pt>
                <c:pt idx="33">
                  <c:v>30</c:v>
                </c:pt>
                <c:pt idx="34">
                  <c:v>33</c:v>
                </c:pt>
                <c:pt idx="35">
                  <c:v>40</c:v>
                </c:pt>
              </c:numCache>
            </c:numRef>
          </c:val>
          <c:smooth val="0"/>
          <c:extLst>
            <c:ext xmlns:c16="http://schemas.microsoft.com/office/drawing/2014/chart" uri="{C3380CC4-5D6E-409C-BE32-E72D297353CC}">
              <c16:uniqueId val="{00000001-9CFC-45E7-A6AD-81E55E215787}"/>
            </c:ext>
          </c:extLst>
        </c:ser>
        <c:ser>
          <c:idx val="1"/>
          <c:order val="1"/>
          <c:tx>
            <c:strRef>
              <c:f>'Linear Regression'!$E$5</c:f>
              <c:strCache>
                <c:ptCount val="1"/>
                <c:pt idx="0">
                  <c:v>FORECAST</c:v>
                </c:pt>
              </c:strCache>
            </c:strRef>
          </c:tx>
          <c:spPr>
            <a:ln w="28575" cap="rnd">
              <a:solidFill>
                <a:schemeClr val="accent2"/>
              </a:solidFill>
              <a:round/>
            </a:ln>
            <a:effectLst/>
          </c:spPr>
          <c:marker>
            <c:symbol val="none"/>
          </c:marker>
          <c:cat>
            <c:multiLvlStrRef>
              <c:f>'Linear Regression'!$B$6:$C$41</c:f>
              <c:multiLvlStrCache>
                <c:ptCount val="36"/>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lvl>
                <c:lvl>
                  <c:pt idx="0">
                    <c:v>2023</c:v>
                  </c:pt>
                  <c:pt idx="12">
                    <c:v>2024</c:v>
                  </c:pt>
                  <c:pt idx="24">
                    <c:v>2025</c:v>
                  </c:pt>
                </c:lvl>
              </c:multiLvlStrCache>
            </c:multiLvlStrRef>
          </c:cat>
          <c:val>
            <c:numRef>
              <c:f>'Linear Regression'!$E$6:$E$41</c:f>
              <c:numCache>
                <c:formatCode>#,##0.00</c:formatCode>
                <c:ptCount val="36"/>
                <c:pt idx="0">
                  <c:v>27.765765765765767</c:v>
                </c:pt>
                <c:pt idx="1">
                  <c:v>28.002960102960103</c:v>
                </c:pt>
                <c:pt idx="2">
                  <c:v>28.240154440154441</c:v>
                </c:pt>
                <c:pt idx="3">
                  <c:v>28.477348777348777</c:v>
                </c:pt>
                <c:pt idx="4">
                  <c:v>28.714543114543115</c:v>
                </c:pt>
                <c:pt idx="5">
                  <c:v>28.951737451737451</c:v>
                </c:pt>
                <c:pt idx="6">
                  <c:v>29.188931788931789</c:v>
                </c:pt>
                <c:pt idx="7">
                  <c:v>29.426126126126128</c:v>
                </c:pt>
                <c:pt idx="8">
                  <c:v>29.663320463320463</c:v>
                </c:pt>
                <c:pt idx="9">
                  <c:v>29.900514800514802</c:v>
                </c:pt>
                <c:pt idx="10">
                  <c:v>30.137709137709138</c:v>
                </c:pt>
                <c:pt idx="11">
                  <c:v>30.374903474903476</c:v>
                </c:pt>
                <c:pt idx="12">
                  <c:v>30.612097812097812</c:v>
                </c:pt>
                <c:pt idx="13">
                  <c:v>30.84929214929215</c:v>
                </c:pt>
                <c:pt idx="14">
                  <c:v>31.086486486486486</c:v>
                </c:pt>
                <c:pt idx="15">
                  <c:v>31.323680823680824</c:v>
                </c:pt>
                <c:pt idx="16">
                  <c:v>31.560875160875163</c:v>
                </c:pt>
                <c:pt idx="17">
                  <c:v>31.798069498069498</c:v>
                </c:pt>
                <c:pt idx="18">
                  <c:v>32.035263835263834</c:v>
                </c:pt>
                <c:pt idx="19">
                  <c:v>32.272458172458172</c:v>
                </c:pt>
                <c:pt idx="20">
                  <c:v>32.509652509652511</c:v>
                </c:pt>
                <c:pt idx="21">
                  <c:v>32.74684684684685</c:v>
                </c:pt>
                <c:pt idx="22">
                  <c:v>32.984041184041189</c:v>
                </c:pt>
                <c:pt idx="23">
                  <c:v>33.221235521235521</c:v>
                </c:pt>
                <c:pt idx="24">
                  <c:v>33.458429858429859</c:v>
                </c:pt>
                <c:pt idx="25">
                  <c:v>33.695624195624198</c:v>
                </c:pt>
                <c:pt idx="26">
                  <c:v>33.932818532818537</c:v>
                </c:pt>
                <c:pt idx="27">
                  <c:v>34.170012870012869</c:v>
                </c:pt>
                <c:pt idx="28">
                  <c:v>34.407207207207207</c:v>
                </c:pt>
                <c:pt idx="29">
                  <c:v>34.644401544401546</c:v>
                </c:pt>
                <c:pt idx="30">
                  <c:v>34.881595881595885</c:v>
                </c:pt>
                <c:pt idx="31">
                  <c:v>35.118790218790224</c:v>
                </c:pt>
                <c:pt idx="32">
                  <c:v>35.355984555984556</c:v>
                </c:pt>
                <c:pt idx="33">
                  <c:v>35.593178893178894</c:v>
                </c:pt>
                <c:pt idx="34">
                  <c:v>35.830373230373233</c:v>
                </c:pt>
                <c:pt idx="35">
                  <c:v>36.067567567567565</c:v>
                </c:pt>
              </c:numCache>
            </c:numRef>
          </c:val>
          <c:smooth val="0"/>
          <c:extLst>
            <c:ext xmlns:c16="http://schemas.microsoft.com/office/drawing/2014/chart" uri="{C3380CC4-5D6E-409C-BE32-E72D297353CC}">
              <c16:uniqueId val="{00000000-9CFC-45E7-A6AD-81E55E215787}"/>
            </c:ext>
          </c:extLst>
        </c:ser>
        <c:dLbls>
          <c:showLegendKey val="0"/>
          <c:showVal val="0"/>
          <c:showCatName val="0"/>
          <c:showSerName val="0"/>
          <c:showPercent val="0"/>
          <c:showBubbleSize val="0"/>
        </c:dLbls>
        <c:smooth val="0"/>
        <c:axId val="1117771056"/>
        <c:axId val="1117785616"/>
      </c:lineChart>
      <c:catAx>
        <c:axId val="1117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85616"/>
        <c:crosses val="autoZero"/>
        <c:auto val="1"/>
        <c:lblAlgn val="ctr"/>
        <c:lblOffset val="100"/>
        <c:noMultiLvlLbl val="0"/>
      </c:catAx>
      <c:valAx>
        <c:axId val="111778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Monitoring</a:t>
            </a:r>
            <a:r>
              <a:rPr lang="en-US" baseline="0"/>
              <a:t> Forecasts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236156430545938E-2"/>
          <c:y val="0.2046966313333945"/>
          <c:w val="0.93755569484289702"/>
          <c:h val="0.50892149544817666"/>
        </c:manualLayout>
      </c:layout>
      <c:lineChart>
        <c:grouping val="standard"/>
        <c:varyColors val="0"/>
        <c:ser>
          <c:idx val="0"/>
          <c:order val="0"/>
          <c:tx>
            <c:strRef>
              <c:f>'2026 &amp; 2027 Forecast'!$F$5</c:f>
              <c:strCache>
                <c:ptCount val="1"/>
                <c:pt idx="0">
                  <c:v>ERROR</c:v>
                </c:pt>
              </c:strCache>
            </c:strRef>
          </c:tx>
          <c:spPr>
            <a:ln w="28575" cap="rnd">
              <a:solidFill>
                <a:schemeClr val="accent2"/>
              </a:solidFill>
              <a:round/>
            </a:ln>
            <a:effectLst/>
          </c:spPr>
          <c:marker>
            <c:symbol val="none"/>
          </c:marker>
          <c:dPt>
            <c:idx val="40"/>
            <c:marker>
              <c:symbol val="diamond"/>
              <c:size val="9"/>
              <c:spPr>
                <a:solidFill>
                  <a:srgbClr val="FF0000"/>
                </a:solidFill>
                <a:ln w="38100">
                  <a:solidFill>
                    <a:srgbClr val="FF0000">
                      <a:alpha val="0"/>
                    </a:srgbClr>
                  </a:solidFill>
                </a:ln>
                <a:effectLst/>
              </c:spPr>
            </c:marker>
            <c:bubble3D val="0"/>
            <c:extLst>
              <c:ext xmlns:c16="http://schemas.microsoft.com/office/drawing/2014/chart" uri="{C3380CC4-5D6E-409C-BE32-E72D297353CC}">
                <c16:uniqueId val="{00000004-BE39-47A2-8DEB-A6AB54A1075B}"/>
              </c:ext>
            </c:extLst>
          </c:dPt>
          <c:cat>
            <c:multiLvlStrRef>
              <c:f>'2026 &amp; 2027 Forecast'!$B$6:$C$65</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2023</c:v>
                  </c:pt>
                  <c:pt idx="12">
                    <c:v>2024</c:v>
                  </c:pt>
                  <c:pt idx="24">
                    <c:v>2025</c:v>
                  </c:pt>
                  <c:pt idx="36">
                    <c:v>2026</c:v>
                  </c:pt>
                  <c:pt idx="48">
                    <c:v>2027</c:v>
                  </c:pt>
                </c:lvl>
              </c:multiLvlStrCache>
            </c:multiLvlStrRef>
          </c:cat>
          <c:val>
            <c:numRef>
              <c:f>'2026 &amp; 2027 Forecast'!$F$6:$F$65</c:f>
              <c:numCache>
                <c:formatCode>#,##0</c:formatCode>
                <c:ptCount val="60"/>
                <c:pt idx="1">
                  <c:v>5</c:v>
                </c:pt>
                <c:pt idx="2">
                  <c:v>6</c:v>
                </c:pt>
                <c:pt idx="3">
                  <c:v>2</c:v>
                </c:pt>
                <c:pt idx="4">
                  <c:v>-3</c:v>
                </c:pt>
                <c:pt idx="5">
                  <c:v>4</c:v>
                </c:pt>
                <c:pt idx="6">
                  <c:v>1</c:v>
                </c:pt>
                <c:pt idx="7">
                  <c:v>-5</c:v>
                </c:pt>
                <c:pt idx="8">
                  <c:v>0</c:v>
                </c:pt>
                <c:pt idx="9">
                  <c:v>3</c:v>
                </c:pt>
                <c:pt idx="10">
                  <c:v>-1</c:v>
                </c:pt>
                <c:pt idx="11">
                  <c:v>-6</c:v>
                </c:pt>
                <c:pt idx="12">
                  <c:v>0</c:v>
                </c:pt>
                <c:pt idx="13">
                  <c:v>0</c:v>
                </c:pt>
                <c:pt idx="14">
                  <c:v>3</c:v>
                </c:pt>
                <c:pt idx="15">
                  <c:v>2</c:v>
                </c:pt>
                <c:pt idx="16">
                  <c:v>0</c:v>
                </c:pt>
                <c:pt idx="17">
                  <c:v>2</c:v>
                </c:pt>
                <c:pt idx="18">
                  <c:v>7</c:v>
                </c:pt>
                <c:pt idx="19">
                  <c:v>-1</c:v>
                </c:pt>
                <c:pt idx="20">
                  <c:v>-1</c:v>
                </c:pt>
                <c:pt idx="21">
                  <c:v>3</c:v>
                </c:pt>
                <c:pt idx="22">
                  <c:v>0</c:v>
                </c:pt>
                <c:pt idx="23">
                  <c:v>-7</c:v>
                </c:pt>
                <c:pt idx="24">
                  <c:v>2</c:v>
                </c:pt>
                <c:pt idx="25">
                  <c:v>-4</c:v>
                </c:pt>
                <c:pt idx="26">
                  <c:v>2</c:v>
                </c:pt>
                <c:pt idx="27">
                  <c:v>7</c:v>
                </c:pt>
                <c:pt idx="28">
                  <c:v>-2</c:v>
                </c:pt>
                <c:pt idx="29">
                  <c:v>-2</c:v>
                </c:pt>
                <c:pt idx="30">
                  <c:v>-1</c:v>
                </c:pt>
                <c:pt idx="31">
                  <c:v>-6</c:v>
                </c:pt>
                <c:pt idx="32">
                  <c:v>-4</c:v>
                </c:pt>
                <c:pt idx="33">
                  <c:v>5</c:v>
                </c:pt>
                <c:pt idx="34">
                  <c:v>3</c:v>
                </c:pt>
                <c:pt idx="35">
                  <c:v>7</c:v>
                </c:pt>
                <c:pt idx="36">
                  <c:v>-2</c:v>
                </c:pt>
                <c:pt idx="37">
                  <c:v>4</c:v>
                </c:pt>
                <c:pt idx="38">
                  <c:v>-7</c:v>
                </c:pt>
                <c:pt idx="39">
                  <c:v>4</c:v>
                </c:pt>
                <c:pt idx="40">
                  <c:v>-13</c:v>
                </c:pt>
                <c:pt idx="41">
                  <c:v>3</c:v>
                </c:pt>
                <c:pt idx="42">
                  <c:v>5</c:v>
                </c:pt>
                <c:pt idx="43">
                  <c:v>-2</c:v>
                </c:pt>
                <c:pt idx="44">
                  <c:v>7</c:v>
                </c:pt>
                <c:pt idx="45">
                  <c:v>2</c:v>
                </c:pt>
                <c:pt idx="46">
                  <c:v>2</c:v>
                </c:pt>
                <c:pt idx="47">
                  <c:v>-6</c:v>
                </c:pt>
                <c:pt idx="48">
                  <c:v>-1</c:v>
                </c:pt>
                <c:pt idx="49">
                  <c:v>3</c:v>
                </c:pt>
                <c:pt idx="50">
                  <c:v>5</c:v>
                </c:pt>
                <c:pt idx="51">
                  <c:v>-1</c:v>
                </c:pt>
                <c:pt idx="52">
                  <c:v>-7</c:v>
                </c:pt>
                <c:pt idx="53">
                  <c:v>-2</c:v>
                </c:pt>
                <c:pt idx="54">
                  <c:v>7</c:v>
                </c:pt>
                <c:pt idx="55">
                  <c:v>3</c:v>
                </c:pt>
                <c:pt idx="56">
                  <c:v>3</c:v>
                </c:pt>
                <c:pt idx="57">
                  <c:v>-7</c:v>
                </c:pt>
                <c:pt idx="58">
                  <c:v>-2</c:v>
                </c:pt>
                <c:pt idx="59">
                  <c:v>0</c:v>
                </c:pt>
              </c:numCache>
            </c:numRef>
          </c:val>
          <c:smooth val="0"/>
          <c:extLst>
            <c:ext xmlns:c16="http://schemas.microsoft.com/office/drawing/2014/chart" uri="{C3380CC4-5D6E-409C-BE32-E72D297353CC}">
              <c16:uniqueId val="{00000000-BE39-47A2-8DEB-A6AB54A1075B}"/>
            </c:ext>
          </c:extLst>
        </c:ser>
        <c:ser>
          <c:idx val="1"/>
          <c:order val="1"/>
          <c:tx>
            <c:strRef>
              <c:f>'2026 &amp; 2027 Forecast'!$I$5</c:f>
              <c:strCache>
                <c:ptCount val="1"/>
                <c:pt idx="0">
                  <c:v>UCL</c:v>
                </c:pt>
              </c:strCache>
            </c:strRef>
          </c:tx>
          <c:spPr>
            <a:ln w="28575" cap="rnd">
              <a:solidFill>
                <a:srgbClr val="0070C0"/>
              </a:solidFill>
              <a:round/>
            </a:ln>
            <a:effectLst/>
          </c:spPr>
          <c:marker>
            <c:symbol val="none"/>
          </c:marker>
          <c:cat>
            <c:multiLvlStrRef>
              <c:f>'2026 &amp; 2027 Forecast'!$B$6:$C$65</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2023</c:v>
                  </c:pt>
                  <c:pt idx="12">
                    <c:v>2024</c:v>
                  </c:pt>
                  <c:pt idx="24">
                    <c:v>2025</c:v>
                  </c:pt>
                  <c:pt idx="36">
                    <c:v>2026</c:v>
                  </c:pt>
                  <c:pt idx="48">
                    <c:v>2027</c:v>
                  </c:pt>
                </c:lvl>
              </c:multiLvlStrCache>
            </c:multiLvlStrRef>
          </c:cat>
          <c:val>
            <c:numRef>
              <c:f>'2026 &amp; 2027 Forecast'!$I$7:$I$65</c:f>
              <c:numCache>
                <c:formatCode>#,##0.00</c:formatCode>
                <c:ptCount val="59"/>
                <c:pt idx="0">
                  <c:v>7.4450520481726654</c:v>
                </c:pt>
                <c:pt idx="1">
                  <c:v>7.4450520481726654</c:v>
                </c:pt>
                <c:pt idx="2">
                  <c:v>7.4450520481726654</c:v>
                </c:pt>
                <c:pt idx="3">
                  <c:v>7.4450520481726654</c:v>
                </c:pt>
                <c:pt idx="4">
                  <c:v>7.4450520481726654</c:v>
                </c:pt>
                <c:pt idx="5">
                  <c:v>7.4450520481726654</c:v>
                </c:pt>
                <c:pt idx="6">
                  <c:v>7.4450520481726654</c:v>
                </c:pt>
                <c:pt idx="7">
                  <c:v>7.4450520481726654</c:v>
                </c:pt>
                <c:pt idx="8">
                  <c:v>7.4450520481726654</c:v>
                </c:pt>
                <c:pt idx="9">
                  <c:v>7.4450520481726654</c:v>
                </c:pt>
                <c:pt idx="10">
                  <c:v>7.4450520481726654</c:v>
                </c:pt>
                <c:pt idx="11">
                  <c:v>7.4450520481726654</c:v>
                </c:pt>
                <c:pt idx="12">
                  <c:v>7.4450520481726654</c:v>
                </c:pt>
                <c:pt idx="13">
                  <c:v>7.4450520481726654</c:v>
                </c:pt>
                <c:pt idx="14">
                  <c:v>7.4450520481726654</c:v>
                </c:pt>
                <c:pt idx="15">
                  <c:v>7.4450520481726654</c:v>
                </c:pt>
                <c:pt idx="16">
                  <c:v>7.4450520481726654</c:v>
                </c:pt>
                <c:pt idx="17">
                  <c:v>7.4450520481726654</c:v>
                </c:pt>
                <c:pt idx="18">
                  <c:v>7.4450520481726654</c:v>
                </c:pt>
                <c:pt idx="19">
                  <c:v>7.4450520481726654</c:v>
                </c:pt>
                <c:pt idx="20">
                  <c:v>7.4450520481726654</c:v>
                </c:pt>
                <c:pt idx="21">
                  <c:v>7.4450520481726654</c:v>
                </c:pt>
                <c:pt idx="22">
                  <c:v>7.4450520481726654</c:v>
                </c:pt>
                <c:pt idx="23">
                  <c:v>7.4450520481726654</c:v>
                </c:pt>
                <c:pt idx="24">
                  <c:v>7.4450520481726654</c:v>
                </c:pt>
                <c:pt idx="25">
                  <c:v>7.4450520481726654</c:v>
                </c:pt>
                <c:pt idx="26">
                  <c:v>7.4450520481726654</c:v>
                </c:pt>
                <c:pt idx="27">
                  <c:v>7.4450520481726654</c:v>
                </c:pt>
                <c:pt idx="28">
                  <c:v>7.4450520481726654</c:v>
                </c:pt>
                <c:pt idx="29">
                  <c:v>7.4450520481726654</c:v>
                </c:pt>
                <c:pt idx="30">
                  <c:v>7.4450520481726654</c:v>
                </c:pt>
                <c:pt idx="31">
                  <c:v>7.4450520481726654</c:v>
                </c:pt>
                <c:pt idx="32">
                  <c:v>7.4450520481726654</c:v>
                </c:pt>
                <c:pt idx="33">
                  <c:v>7.4450520481726654</c:v>
                </c:pt>
                <c:pt idx="34">
                  <c:v>7.4450520481726654</c:v>
                </c:pt>
                <c:pt idx="35">
                  <c:v>7.4450520481726654</c:v>
                </c:pt>
                <c:pt idx="36">
                  <c:v>7.4450520481726654</c:v>
                </c:pt>
                <c:pt idx="37">
                  <c:v>7.4450520481726654</c:v>
                </c:pt>
                <c:pt idx="38">
                  <c:v>7.4450520481726654</c:v>
                </c:pt>
                <c:pt idx="39">
                  <c:v>7.4450520481726654</c:v>
                </c:pt>
                <c:pt idx="40">
                  <c:v>7.4450520481726654</c:v>
                </c:pt>
                <c:pt idx="41">
                  <c:v>7.4450520481726654</c:v>
                </c:pt>
                <c:pt idx="42">
                  <c:v>7.4450520481726654</c:v>
                </c:pt>
                <c:pt idx="43">
                  <c:v>7.4450520481726654</c:v>
                </c:pt>
                <c:pt idx="44">
                  <c:v>7.4450520481726654</c:v>
                </c:pt>
                <c:pt idx="45">
                  <c:v>7.4450520481726654</c:v>
                </c:pt>
                <c:pt idx="46">
                  <c:v>7.4450520481726654</c:v>
                </c:pt>
                <c:pt idx="47">
                  <c:v>7.4450520481726654</c:v>
                </c:pt>
                <c:pt idx="48">
                  <c:v>7.4450520481726654</c:v>
                </c:pt>
                <c:pt idx="49">
                  <c:v>7.4450520481726654</c:v>
                </c:pt>
                <c:pt idx="50">
                  <c:v>7.4450520481726654</c:v>
                </c:pt>
                <c:pt idx="51">
                  <c:v>7.4450520481726654</c:v>
                </c:pt>
                <c:pt idx="52">
                  <c:v>7.4450520481726654</c:v>
                </c:pt>
                <c:pt idx="53">
                  <c:v>7.4450520481726654</c:v>
                </c:pt>
                <c:pt idx="54">
                  <c:v>7.4450520481726654</c:v>
                </c:pt>
                <c:pt idx="55">
                  <c:v>7.4450520481726654</c:v>
                </c:pt>
                <c:pt idx="56">
                  <c:v>7.4450520481726654</c:v>
                </c:pt>
                <c:pt idx="57">
                  <c:v>7.4450520481726654</c:v>
                </c:pt>
                <c:pt idx="58">
                  <c:v>7.4450520481726654</c:v>
                </c:pt>
              </c:numCache>
            </c:numRef>
          </c:val>
          <c:smooth val="0"/>
          <c:extLst>
            <c:ext xmlns:c16="http://schemas.microsoft.com/office/drawing/2014/chart" uri="{C3380CC4-5D6E-409C-BE32-E72D297353CC}">
              <c16:uniqueId val="{00000001-BE39-47A2-8DEB-A6AB54A1075B}"/>
            </c:ext>
          </c:extLst>
        </c:ser>
        <c:ser>
          <c:idx val="2"/>
          <c:order val="2"/>
          <c:tx>
            <c:strRef>
              <c:f>'2026 &amp; 2027 Forecast'!$J$5</c:f>
              <c:strCache>
                <c:ptCount val="1"/>
                <c:pt idx="0">
                  <c:v>LCL</c:v>
                </c:pt>
              </c:strCache>
            </c:strRef>
          </c:tx>
          <c:spPr>
            <a:ln w="28575" cap="rnd">
              <a:solidFill>
                <a:srgbClr val="00B050"/>
              </a:solidFill>
              <a:round/>
            </a:ln>
            <a:effectLst/>
          </c:spPr>
          <c:marker>
            <c:symbol val="none"/>
          </c:marker>
          <c:cat>
            <c:multiLvlStrRef>
              <c:f>'2026 &amp; 2027 Forecast'!$B$6:$C$65</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2023</c:v>
                  </c:pt>
                  <c:pt idx="12">
                    <c:v>2024</c:v>
                  </c:pt>
                  <c:pt idx="24">
                    <c:v>2025</c:v>
                  </c:pt>
                  <c:pt idx="36">
                    <c:v>2026</c:v>
                  </c:pt>
                  <c:pt idx="48">
                    <c:v>2027</c:v>
                  </c:pt>
                </c:lvl>
              </c:multiLvlStrCache>
            </c:multiLvlStrRef>
          </c:cat>
          <c:val>
            <c:numRef>
              <c:f>'2026 &amp; 2027 Forecast'!$J$7:$J$65</c:f>
              <c:numCache>
                <c:formatCode>#,##0.00</c:formatCode>
                <c:ptCount val="59"/>
                <c:pt idx="0">
                  <c:v>-7.4450520481726654</c:v>
                </c:pt>
                <c:pt idx="1">
                  <c:v>-7.4450520481726654</c:v>
                </c:pt>
                <c:pt idx="2">
                  <c:v>-7.4450520481726654</c:v>
                </c:pt>
                <c:pt idx="3">
                  <c:v>-7.4450520481726654</c:v>
                </c:pt>
                <c:pt idx="4">
                  <c:v>-7.4450520481726654</c:v>
                </c:pt>
                <c:pt idx="5">
                  <c:v>-7.4450520481726654</c:v>
                </c:pt>
                <c:pt idx="6">
                  <c:v>-7.4450520481726654</c:v>
                </c:pt>
                <c:pt idx="7">
                  <c:v>-7.4450520481726654</c:v>
                </c:pt>
                <c:pt idx="8">
                  <c:v>-7.4450520481726654</c:v>
                </c:pt>
                <c:pt idx="9">
                  <c:v>-7.4450520481726654</c:v>
                </c:pt>
                <c:pt idx="10">
                  <c:v>-7.4450520481726654</c:v>
                </c:pt>
                <c:pt idx="11">
                  <c:v>-7.4450520481726654</c:v>
                </c:pt>
                <c:pt idx="12">
                  <c:v>-7.4450520481726654</c:v>
                </c:pt>
                <c:pt idx="13">
                  <c:v>-7.4450520481726654</c:v>
                </c:pt>
                <c:pt idx="14">
                  <c:v>-7.4450520481726654</c:v>
                </c:pt>
                <c:pt idx="15">
                  <c:v>-7.4450520481726654</c:v>
                </c:pt>
                <c:pt idx="16">
                  <c:v>-7.4450520481726654</c:v>
                </c:pt>
                <c:pt idx="17">
                  <c:v>-7.4450520481726654</c:v>
                </c:pt>
                <c:pt idx="18">
                  <c:v>-7.4450520481726654</c:v>
                </c:pt>
                <c:pt idx="19">
                  <c:v>-7.4450520481726654</c:v>
                </c:pt>
                <c:pt idx="20">
                  <c:v>-7.4450520481726654</c:v>
                </c:pt>
                <c:pt idx="21">
                  <c:v>-7.4450520481726654</c:v>
                </c:pt>
                <c:pt idx="22">
                  <c:v>-7.4450520481726654</c:v>
                </c:pt>
                <c:pt idx="23">
                  <c:v>-7.4450520481726654</c:v>
                </c:pt>
                <c:pt idx="24">
                  <c:v>-7.4450520481726654</c:v>
                </c:pt>
                <c:pt idx="25">
                  <c:v>-7.4450520481726654</c:v>
                </c:pt>
                <c:pt idx="26">
                  <c:v>-7.4450520481726654</c:v>
                </c:pt>
                <c:pt idx="27">
                  <c:v>-7.4450520481726654</c:v>
                </c:pt>
                <c:pt idx="28">
                  <c:v>-7.4450520481726654</c:v>
                </c:pt>
                <c:pt idx="29">
                  <c:v>-7.4450520481726654</c:v>
                </c:pt>
                <c:pt idx="30">
                  <c:v>-7.4450520481726654</c:v>
                </c:pt>
                <c:pt idx="31">
                  <c:v>-7.4450520481726654</c:v>
                </c:pt>
                <c:pt idx="32">
                  <c:v>-7.4450520481726654</c:v>
                </c:pt>
                <c:pt idx="33">
                  <c:v>-7.4450520481726654</c:v>
                </c:pt>
                <c:pt idx="34">
                  <c:v>-7.4450520481726654</c:v>
                </c:pt>
                <c:pt idx="35">
                  <c:v>-7.4450520481726654</c:v>
                </c:pt>
                <c:pt idx="36">
                  <c:v>-7.4450520481726654</c:v>
                </c:pt>
                <c:pt idx="37">
                  <c:v>-7.4450520481726654</c:v>
                </c:pt>
                <c:pt idx="38">
                  <c:v>-7.4450520481726654</c:v>
                </c:pt>
                <c:pt idx="39">
                  <c:v>-7.4450520481726654</c:v>
                </c:pt>
                <c:pt idx="40">
                  <c:v>-7.4450520481726654</c:v>
                </c:pt>
                <c:pt idx="41">
                  <c:v>-7.4450520481726654</c:v>
                </c:pt>
                <c:pt idx="42">
                  <c:v>-7.4450520481726654</c:v>
                </c:pt>
                <c:pt idx="43">
                  <c:v>-7.4450520481726654</c:v>
                </c:pt>
                <c:pt idx="44">
                  <c:v>-7.4450520481726654</c:v>
                </c:pt>
                <c:pt idx="45">
                  <c:v>-7.4450520481726654</c:v>
                </c:pt>
                <c:pt idx="46">
                  <c:v>-7.4450520481726654</c:v>
                </c:pt>
                <c:pt idx="47">
                  <c:v>-7.4450520481726654</c:v>
                </c:pt>
                <c:pt idx="48">
                  <c:v>-7.4450520481726654</c:v>
                </c:pt>
                <c:pt idx="49">
                  <c:v>-7.4450520481726654</c:v>
                </c:pt>
                <c:pt idx="50">
                  <c:v>-7.4450520481726654</c:v>
                </c:pt>
                <c:pt idx="51">
                  <c:v>-7.4450520481726654</c:v>
                </c:pt>
                <c:pt idx="52">
                  <c:v>-7.4450520481726654</c:v>
                </c:pt>
                <c:pt idx="53">
                  <c:v>-7.4450520481726654</c:v>
                </c:pt>
                <c:pt idx="54">
                  <c:v>-7.4450520481726654</c:v>
                </c:pt>
                <c:pt idx="55">
                  <c:v>-7.4450520481726654</c:v>
                </c:pt>
                <c:pt idx="56">
                  <c:v>-7.4450520481726654</c:v>
                </c:pt>
                <c:pt idx="57">
                  <c:v>-7.4450520481726654</c:v>
                </c:pt>
                <c:pt idx="58">
                  <c:v>-7.4450520481726654</c:v>
                </c:pt>
              </c:numCache>
            </c:numRef>
          </c:val>
          <c:smooth val="0"/>
          <c:extLst>
            <c:ext xmlns:c16="http://schemas.microsoft.com/office/drawing/2014/chart" uri="{C3380CC4-5D6E-409C-BE32-E72D297353CC}">
              <c16:uniqueId val="{00000002-BE39-47A2-8DEB-A6AB54A1075B}"/>
            </c:ext>
          </c:extLst>
        </c:ser>
        <c:dLbls>
          <c:showLegendKey val="0"/>
          <c:showVal val="0"/>
          <c:showCatName val="0"/>
          <c:showSerName val="0"/>
          <c:showPercent val="0"/>
          <c:showBubbleSize val="0"/>
        </c:dLbls>
        <c:smooth val="0"/>
        <c:axId val="1254306079"/>
        <c:axId val="1254303583"/>
      </c:lineChart>
      <c:catAx>
        <c:axId val="12543060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03583"/>
        <c:crosses val="autoZero"/>
        <c:auto val="1"/>
        <c:lblAlgn val="ctr"/>
        <c:lblOffset val="100"/>
        <c:noMultiLvlLbl val="0"/>
      </c:catAx>
      <c:valAx>
        <c:axId val="1254303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06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Monitoring</a:t>
            </a:r>
            <a:r>
              <a:rPr lang="en-US" baseline="0"/>
              <a:t> Forecasts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236156430545938E-2"/>
          <c:y val="0.2046966313333945"/>
          <c:w val="0.93755569484289702"/>
          <c:h val="0.50892149544817666"/>
        </c:manualLayout>
      </c:layout>
      <c:lineChart>
        <c:grouping val="standard"/>
        <c:varyColors val="0"/>
        <c:ser>
          <c:idx val="0"/>
          <c:order val="0"/>
          <c:tx>
            <c:strRef>
              <c:f>'2026 &amp; 2027 Forecast'!$F$5</c:f>
              <c:strCache>
                <c:ptCount val="1"/>
                <c:pt idx="0">
                  <c:v>ERROR</c:v>
                </c:pt>
              </c:strCache>
            </c:strRef>
          </c:tx>
          <c:spPr>
            <a:ln w="28575" cap="rnd">
              <a:solidFill>
                <a:schemeClr val="accent2"/>
              </a:solidFill>
              <a:round/>
            </a:ln>
            <a:effectLst/>
          </c:spPr>
          <c:marker>
            <c:symbol val="none"/>
          </c:marker>
          <c:dPt>
            <c:idx val="40"/>
            <c:marker>
              <c:symbol val="diamond"/>
              <c:size val="9"/>
              <c:spPr>
                <a:solidFill>
                  <a:srgbClr val="FF0000"/>
                </a:solidFill>
                <a:ln w="38100">
                  <a:solidFill>
                    <a:srgbClr val="FF0000">
                      <a:alpha val="0"/>
                    </a:srgbClr>
                  </a:solidFill>
                </a:ln>
                <a:effectLst/>
              </c:spPr>
            </c:marker>
            <c:bubble3D val="0"/>
            <c:extLst>
              <c:ext xmlns:c16="http://schemas.microsoft.com/office/drawing/2014/chart" uri="{C3380CC4-5D6E-409C-BE32-E72D297353CC}">
                <c16:uniqueId val="{00000000-1B84-4323-8A02-F1459B96FFBA}"/>
              </c:ext>
            </c:extLst>
          </c:dPt>
          <c:cat>
            <c:multiLvlStrRef>
              <c:f>'2026 &amp; 2027 Forecast'!$B$6:$C$65</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2023</c:v>
                  </c:pt>
                  <c:pt idx="12">
                    <c:v>2024</c:v>
                  </c:pt>
                  <c:pt idx="24">
                    <c:v>2025</c:v>
                  </c:pt>
                  <c:pt idx="36">
                    <c:v>2026</c:v>
                  </c:pt>
                  <c:pt idx="48">
                    <c:v>2027</c:v>
                  </c:pt>
                </c:lvl>
              </c:multiLvlStrCache>
            </c:multiLvlStrRef>
          </c:cat>
          <c:val>
            <c:numRef>
              <c:f>'2026 &amp; 2027 Forecast'!$F$6:$F$65</c:f>
              <c:numCache>
                <c:formatCode>#,##0</c:formatCode>
                <c:ptCount val="60"/>
                <c:pt idx="1">
                  <c:v>5</c:v>
                </c:pt>
                <c:pt idx="2">
                  <c:v>6</c:v>
                </c:pt>
                <c:pt idx="3">
                  <c:v>2</c:v>
                </c:pt>
                <c:pt idx="4">
                  <c:v>-3</c:v>
                </c:pt>
                <c:pt idx="5">
                  <c:v>4</c:v>
                </c:pt>
                <c:pt idx="6">
                  <c:v>1</c:v>
                </c:pt>
                <c:pt idx="7">
                  <c:v>-5</c:v>
                </c:pt>
                <c:pt idx="8">
                  <c:v>0</c:v>
                </c:pt>
                <c:pt idx="9">
                  <c:v>3</c:v>
                </c:pt>
                <c:pt idx="10">
                  <c:v>-1</c:v>
                </c:pt>
                <c:pt idx="11">
                  <c:v>-6</c:v>
                </c:pt>
                <c:pt idx="12">
                  <c:v>0</c:v>
                </c:pt>
                <c:pt idx="13">
                  <c:v>0</c:v>
                </c:pt>
                <c:pt idx="14">
                  <c:v>3</c:v>
                </c:pt>
                <c:pt idx="15">
                  <c:v>2</c:v>
                </c:pt>
                <c:pt idx="16">
                  <c:v>0</c:v>
                </c:pt>
                <c:pt idx="17">
                  <c:v>2</c:v>
                </c:pt>
                <c:pt idx="18">
                  <c:v>7</c:v>
                </c:pt>
                <c:pt idx="19">
                  <c:v>-1</c:v>
                </c:pt>
                <c:pt idx="20">
                  <c:v>-1</c:v>
                </c:pt>
                <c:pt idx="21">
                  <c:v>3</c:v>
                </c:pt>
                <c:pt idx="22">
                  <c:v>0</c:v>
                </c:pt>
                <c:pt idx="23">
                  <c:v>-7</c:v>
                </c:pt>
                <c:pt idx="24">
                  <c:v>2</c:v>
                </c:pt>
                <c:pt idx="25">
                  <c:v>-4</c:v>
                </c:pt>
                <c:pt idx="26">
                  <c:v>2</c:v>
                </c:pt>
                <c:pt idx="27">
                  <c:v>7</c:v>
                </c:pt>
                <c:pt idx="28">
                  <c:v>-2</c:v>
                </c:pt>
                <c:pt idx="29">
                  <c:v>-2</c:v>
                </c:pt>
                <c:pt idx="30">
                  <c:v>-1</c:v>
                </c:pt>
                <c:pt idx="31">
                  <c:v>-6</c:v>
                </c:pt>
                <c:pt idx="32">
                  <c:v>-4</c:v>
                </c:pt>
                <c:pt idx="33">
                  <c:v>5</c:v>
                </c:pt>
                <c:pt idx="34">
                  <c:v>3</c:v>
                </c:pt>
                <c:pt idx="35">
                  <c:v>7</c:v>
                </c:pt>
                <c:pt idx="36">
                  <c:v>-2</c:v>
                </c:pt>
                <c:pt idx="37">
                  <c:v>4</c:v>
                </c:pt>
                <c:pt idx="38">
                  <c:v>-7</c:v>
                </c:pt>
                <c:pt idx="39">
                  <c:v>4</c:v>
                </c:pt>
                <c:pt idx="40">
                  <c:v>-13</c:v>
                </c:pt>
                <c:pt idx="41">
                  <c:v>3</c:v>
                </c:pt>
                <c:pt idx="42">
                  <c:v>5</c:v>
                </c:pt>
                <c:pt idx="43">
                  <c:v>-2</c:v>
                </c:pt>
                <c:pt idx="44">
                  <c:v>7</c:v>
                </c:pt>
                <c:pt idx="45">
                  <c:v>2</c:v>
                </c:pt>
                <c:pt idx="46">
                  <c:v>2</c:v>
                </c:pt>
                <c:pt idx="47">
                  <c:v>-6</c:v>
                </c:pt>
                <c:pt idx="48">
                  <c:v>-1</c:v>
                </c:pt>
                <c:pt idx="49">
                  <c:v>3</c:v>
                </c:pt>
                <c:pt idx="50">
                  <c:v>5</c:v>
                </c:pt>
                <c:pt idx="51">
                  <c:v>-1</c:v>
                </c:pt>
                <c:pt idx="52">
                  <c:v>-7</c:v>
                </c:pt>
                <c:pt idx="53">
                  <c:v>-2</c:v>
                </c:pt>
                <c:pt idx="54">
                  <c:v>7</c:v>
                </c:pt>
                <c:pt idx="55">
                  <c:v>3</c:v>
                </c:pt>
                <c:pt idx="56">
                  <c:v>3</c:v>
                </c:pt>
                <c:pt idx="57">
                  <c:v>-7</c:v>
                </c:pt>
                <c:pt idx="58">
                  <c:v>-2</c:v>
                </c:pt>
                <c:pt idx="59">
                  <c:v>0</c:v>
                </c:pt>
              </c:numCache>
            </c:numRef>
          </c:val>
          <c:smooth val="0"/>
          <c:extLst>
            <c:ext xmlns:c16="http://schemas.microsoft.com/office/drawing/2014/chart" uri="{C3380CC4-5D6E-409C-BE32-E72D297353CC}">
              <c16:uniqueId val="{00000001-1B84-4323-8A02-F1459B96FFBA}"/>
            </c:ext>
          </c:extLst>
        </c:ser>
        <c:ser>
          <c:idx val="1"/>
          <c:order val="1"/>
          <c:tx>
            <c:strRef>
              <c:f>'2026 &amp; 2027 Forecast'!$I$5</c:f>
              <c:strCache>
                <c:ptCount val="1"/>
                <c:pt idx="0">
                  <c:v>UCL</c:v>
                </c:pt>
              </c:strCache>
            </c:strRef>
          </c:tx>
          <c:spPr>
            <a:ln w="28575" cap="rnd">
              <a:solidFill>
                <a:srgbClr val="0070C0"/>
              </a:solidFill>
              <a:round/>
            </a:ln>
            <a:effectLst/>
          </c:spPr>
          <c:marker>
            <c:symbol val="none"/>
          </c:marker>
          <c:cat>
            <c:multiLvlStrRef>
              <c:f>'2026 &amp; 2027 Forecast'!$B$6:$C$65</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2023</c:v>
                  </c:pt>
                  <c:pt idx="12">
                    <c:v>2024</c:v>
                  </c:pt>
                  <c:pt idx="24">
                    <c:v>2025</c:v>
                  </c:pt>
                  <c:pt idx="36">
                    <c:v>2026</c:v>
                  </c:pt>
                  <c:pt idx="48">
                    <c:v>2027</c:v>
                  </c:pt>
                </c:lvl>
              </c:multiLvlStrCache>
            </c:multiLvlStrRef>
          </c:cat>
          <c:val>
            <c:numRef>
              <c:f>'2026 &amp; 2027 Forecast'!$L$7:$L$65</c:f>
              <c:numCache>
                <c:formatCode>#,##0.00</c:formatCode>
                <c:ptCount val="59"/>
                <c:pt idx="0">
                  <c:v>7.9515864954443671</c:v>
                </c:pt>
                <c:pt idx="1">
                  <c:v>7.9515864954443671</c:v>
                </c:pt>
                <c:pt idx="2">
                  <c:v>7.9515864954443671</c:v>
                </c:pt>
                <c:pt idx="3">
                  <c:v>7.9515864954443671</c:v>
                </c:pt>
                <c:pt idx="4">
                  <c:v>7.9515864954443671</c:v>
                </c:pt>
                <c:pt idx="5">
                  <c:v>7.9515864954443671</c:v>
                </c:pt>
                <c:pt idx="6">
                  <c:v>7.9515864954443671</c:v>
                </c:pt>
                <c:pt idx="7">
                  <c:v>7.9515864954443671</c:v>
                </c:pt>
                <c:pt idx="8">
                  <c:v>7.9515864954443671</c:v>
                </c:pt>
                <c:pt idx="9">
                  <c:v>7.9515864954443671</c:v>
                </c:pt>
                <c:pt idx="10">
                  <c:v>7.9515864954443671</c:v>
                </c:pt>
                <c:pt idx="11">
                  <c:v>7.9515864954443671</c:v>
                </c:pt>
                <c:pt idx="12">
                  <c:v>7.9515864954443671</c:v>
                </c:pt>
                <c:pt idx="13">
                  <c:v>7.9515864954443671</c:v>
                </c:pt>
                <c:pt idx="14">
                  <c:v>7.9515864954443671</c:v>
                </c:pt>
                <c:pt idx="15">
                  <c:v>7.9515864954443671</c:v>
                </c:pt>
                <c:pt idx="16">
                  <c:v>7.9515864954443671</c:v>
                </c:pt>
                <c:pt idx="17">
                  <c:v>7.9515864954443671</c:v>
                </c:pt>
                <c:pt idx="18">
                  <c:v>7.9515864954443671</c:v>
                </c:pt>
                <c:pt idx="19">
                  <c:v>7.9515864954443671</c:v>
                </c:pt>
                <c:pt idx="20">
                  <c:v>7.9515864954443671</c:v>
                </c:pt>
                <c:pt idx="21">
                  <c:v>7.9515864954443671</c:v>
                </c:pt>
                <c:pt idx="22">
                  <c:v>7.9515864954443671</c:v>
                </c:pt>
                <c:pt idx="23">
                  <c:v>7.9515864954443671</c:v>
                </c:pt>
                <c:pt idx="24">
                  <c:v>7.9515864954443671</c:v>
                </c:pt>
                <c:pt idx="25">
                  <c:v>7.9515864954443671</c:v>
                </c:pt>
                <c:pt idx="26">
                  <c:v>7.9515864954443671</c:v>
                </c:pt>
                <c:pt idx="27">
                  <c:v>7.9515864954443671</c:v>
                </c:pt>
                <c:pt idx="28">
                  <c:v>7.9515864954443671</c:v>
                </c:pt>
                <c:pt idx="29">
                  <c:v>7.9515864954443671</c:v>
                </c:pt>
                <c:pt idx="30">
                  <c:v>7.9515864954443671</c:v>
                </c:pt>
                <c:pt idx="31">
                  <c:v>7.9515864954443671</c:v>
                </c:pt>
                <c:pt idx="32">
                  <c:v>7.9515864954443671</c:v>
                </c:pt>
                <c:pt idx="33">
                  <c:v>7.9515864954443671</c:v>
                </c:pt>
                <c:pt idx="34">
                  <c:v>7.9515864954443671</c:v>
                </c:pt>
                <c:pt idx="35">
                  <c:v>7.9515864954443671</c:v>
                </c:pt>
                <c:pt idx="36">
                  <c:v>7.9515864954443671</c:v>
                </c:pt>
                <c:pt idx="37">
                  <c:v>7.9515864954443671</c:v>
                </c:pt>
                <c:pt idx="38">
                  <c:v>7.9515864954443671</c:v>
                </c:pt>
                <c:pt idx="39">
                  <c:v>7.9515864954443671</c:v>
                </c:pt>
                <c:pt idx="40">
                  <c:v>7.9515864954443671</c:v>
                </c:pt>
                <c:pt idx="41">
                  <c:v>7.9515864954443671</c:v>
                </c:pt>
                <c:pt idx="42">
                  <c:v>7.9515864954443671</c:v>
                </c:pt>
                <c:pt idx="43">
                  <c:v>7.9515864954443671</c:v>
                </c:pt>
                <c:pt idx="44">
                  <c:v>7.9515864954443671</c:v>
                </c:pt>
                <c:pt idx="45">
                  <c:v>7.9515864954443671</c:v>
                </c:pt>
                <c:pt idx="46">
                  <c:v>7.9515864954443671</c:v>
                </c:pt>
                <c:pt idx="47">
                  <c:v>7.9515864954443671</c:v>
                </c:pt>
                <c:pt idx="48">
                  <c:v>7.9515864954443671</c:v>
                </c:pt>
                <c:pt idx="49">
                  <c:v>7.9515864954443671</c:v>
                </c:pt>
                <c:pt idx="50">
                  <c:v>7.9515864954443671</c:v>
                </c:pt>
                <c:pt idx="51">
                  <c:v>7.9515864954443671</c:v>
                </c:pt>
                <c:pt idx="52">
                  <c:v>7.9515864954443671</c:v>
                </c:pt>
                <c:pt idx="53">
                  <c:v>7.9515864954443671</c:v>
                </c:pt>
                <c:pt idx="54">
                  <c:v>7.9515864954443671</c:v>
                </c:pt>
                <c:pt idx="55">
                  <c:v>7.9515864954443671</c:v>
                </c:pt>
                <c:pt idx="56">
                  <c:v>7.9515864954443671</c:v>
                </c:pt>
                <c:pt idx="57">
                  <c:v>7.9515864954443671</c:v>
                </c:pt>
                <c:pt idx="58">
                  <c:v>7.9515864954443671</c:v>
                </c:pt>
              </c:numCache>
            </c:numRef>
          </c:val>
          <c:smooth val="0"/>
          <c:extLst>
            <c:ext xmlns:c16="http://schemas.microsoft.com/office/drawing/2014/chart" uri="{C3380CC4-5D6E-409C-BE32-E72D297353CC}">
              <c16:uniqueId val="{00000002-1B84-4323-8A02-F1459B96FFBA}"/>
            </c:ext>
          </c:extLst>
        </c:ser>
        <c:ser>
          <c:idx val="2"/>
          <c:order val="2"/>
          <c:tx>
            <c:strRef>
              <c:f>'2026 &amp; 2027 Forecast'!$J$5</c:f>
              <c:strCache>
                <c:ptCount val="1"/>
                <c:pt idx="0">
                  <c:v>LCL</c:v>
                </c:pt>
              </c:strCache>
            </c:strRef>
          </c:tx>
          <c:spPr>
            <a:ln w="28575" cap="rnd">
              <a:solidFill>
                <a:srgbClr val="00B050"/>
              </a:solidFill>
              <a:round/>
            </a:ln>
            <a:effectLst/>
          </c:spPr>
          <c:marker>
            <c:symbol val="none"/>
          </c:marker>
          <c:cat>
            <c:multiLvlStrRef>
              <c:f>'2026 &amp; 2027 Forecast'!$B$6:$C$65</c:f>
              <c:multiLvlStrCache>
                <c:ptCount val="60"/>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lvl>
                <c:lvl>
                  <c:pt idx="0">
                    <c:v>2023</c:v>
                  </c:pt>
                  <c:pt idx="12">
                    <c:v>2024</c:v>
                  </c:pt>
                  <c:pt idx="24">
                    <c:v>2025</c:v>
                  </c:pt>
                  <c:pt idx="36">
                    <c:v>2026</c:v>
                  </c:pt>
                  <c:pt idx="48">
                    <c:v>2027</c:v>
                  </c:pt>
                </c:lvl>
              </c:multiLvlStrCache>
            </c:multiLvlStrRef>
          </c:cat>
          <c:val>
            <c:numRef>
              <c:f>'2026 &amp; 2027 Forecast'!$M$7:$M$65</c:f>
              <c:numCache>
                <c:formatCode>#,##0.00</c:formatCode>
                <c:ptCount val="59"/>
                <c:pt idx="0">
                  <c:v>-6.7515864954443678</c:v>
                </c:pt>
                <c:pt idx="1">
                  <c:v>-6.7515864954443678</c:v>
                </c:pt>
                <c:pt idx="2">
                  <c:v>-6.7515864954443678</c:v>
                </c:pt>
                <c:pt idx="3">
                  <c:v>-6.7515864954443678</c:v>
                </c:pt>
                <c:pt idx="4">
                  <c:v>-6.7515864954443678</c:v>
                </c:pt>
                <c:pt idx="5">
                  <c:v>-6.7515864954443678</c:v>
                </c:pt>
                <c:pt idx="6">
                  <c:v>-6.7515864954443678</c:v>
                </c:pt>
                <c:pt idx="7">
                  <c:v>-6.7515864954443678</c:v>
                </c:pt>
                <c:pt idx="8">
                  <c:v>-6.7515864954443678</c:v>
                </c:pt>
                <c:pt idx="9">
                  <c:v>-6.7515864954443678</c:v>
                </c:pt>
                <c:pt idx="10">
                  <c:v>-6.7515864954443678</c:v>
                </c:pt>
                <c:pt idx="11">
                  <c:v>-6.7515864954443678</c:v>
                </c:pt>
                <c:pt idx="12">
                  <c:v>-6.7515864954443678</c:v>
                </c:pt>
                <c:pt idx="13">
                  <c:v>-6.7515864954443678</c:v>
                </c:pt>
                <c:pt idx="14">
                  <c:v>-6.7515864954443678</c:v>
                </c:pt>
                <c:pt idx="15">
                  <c:v>-6.7515864954443678</c:v>
                </c:pt>
                <c:pt idx="16">
                  <c:v>-6.7515864954443678</c:v>
                </c:pt>
                <c:pt idx="17">
                  <c:v>-6.7515864954443678</c:v>
                </c:pt>
                <c:pt idx="18">
                  <c:v>-6.7515864954443678</c:v>
                </c:pt>
                <c:pt idx="19">
                  <c:v>-6.7515864954443678</c:v>
                </c:pt>
                <c:pt idx="20">
                  <c:v>-6.7515864954443678</c:v>
                </c:pt>
                <c:pt idx="21">
                  <c:v>-6.7515864954443678</c:v>
                </c:pt>
                <c:pt idx="22">
                  <c:v>-6.7515864954443678</c:v>
                </c:pt>
                <c:pt idx="23">
                  <c:v>-6.7515864954443678</c:v>
                </c:pt>
                <c:pt idx="24">
                  <c:v>-6.7515864954443678</c:v>
                </c:pt>
                <c:pt idx="25">
                  <c:v>-6.7515864954443678</c:v>
                </c:pt>
                <c:pt idx="26">
                  <c:v>-6.7515864954443678</c:v>
                </c:pt>
                <c:pt idx="27">
                  <c:v>-6.7515864954443678</c:v>
                </c:pt>
                <c:pt idx="28">
                  <c:v>-6.7515864954443678</c:v>
                </c:pt>
                <c:pt idx="29">
                  <c:v>-6.7515864954443678</c:v>
                </c:pt>
                <c:pt idx="30">
                  <c:v>-6.7515864954443678</c:v>
                </c:pt>
                <c:pt idx="31">
                  <c:v>-6.7515864954443678</c:v>
                </c:pt>
                <c:pt idx="32">
                  <c:v>-6.7515864954443678</c:v>
                </c:pt>
                <c:pt idx="33">
                  <c:v>-6.7515864954443678</c:v>
                </c:pt>
                <c:pt idx="34">
                  <c:v>-6.7515864954443678</c:v>
                </c:pt>
                <c:pt idx="35">
                  <c:v>-6.7515864954443678</c:v>
                </c:pt>
                <c:pt idx="36">
                  <c:v>-6.7515864954443678</c:v>
                </c:pt>
                <c:pt idx="37">
                  <c:v>-6.7515864954443678</c:v>
                </c:pt>
                <c:pt idx="38">
                  <c:v>-6.7515864954443678</c:v>
                </c:pt>
                <c:pt idx="39">
                  <c:v>-6.7515864954443678</c:v>
                </c:pt>
                <c:pt idx="40">
                  <c:v>-6.7515864954443678</c:v>
                </c:pt>
                <c:pt idx="41">
                  <c:v>-6.7515864954443678</c:v>
                </c:pt>
                <c:pt idx="42">
                  <c:v>-6.7515864954443678</c:v>
                </c:pt>
                <c:pt idx="43">
                  <c:v>-6.7515864954443678</c:v>
                </c:pt>
                <c:pt idx="44">
                  <c:v>-6.7515864954443678</c:v>
                </c:pt>
                <c:pt idx="45">
                  <c:v>-6.7515864954443678</c:v>
                </c:pt>
                <c:pt idx="46">
                  <c:v>-6.7515864954443678</c:v>
                </c:pt>
                <c:pt idx="47">
                  <c:v>-6.7515864954443678</c:v>
                </c:pt>
                <c:pt idx="48">
                  <c:v>-6.7515864954443678</c:v>
                </c:pt>
                <c:pt idx="49">
                  <c:v>-6.7515864954443678</c:v>
                </c:pt>
                <c:pt idx="50">
                  <c:v>-6.7515864954443678</c:v>
                </c:pt>
                <c:pt idx="51">
                  <c:v>-6.7515864954443678</c:v>
                </c:pt>
                <c:pt idx="52">
                  <c:v>-6.7515864954443678</c:v>
                </c:pt>
                <c:pt idx="53">
                  <c:v>-6.7515864954443678</c:v>
                </c:pt>
                <c:pt idx="54">
                  <c:v>-6.7515864954443678</c:v>
                </c:pt>
                <c:pt idx="55">
                  <c:v>-6.7515864954443678</c:v>
                </c:pt>
                <c:pt idx="56">
                  <c:v>-6.7515864954443678</c:v>
                </c:pt>
                <c:pt idx="57">
                  <c:v>-6.7515864954443678</c:v>
                </c:pt>
                <c:pt idx="58">
                  <c:v>-6.7515864954443678</c:v>
                </c:pt>
              </c:numCache>
            </c:numRef>
          </c:val>
          <c:smooth val="0"/>
          <c:extLst>
            <c:ext xmlns:c16="http://schemas.microsoft.com/office/drawing/2014/chart" uri="{C3380CC4-5D6E-409C-BE32-E72D297353CC}">
              <c16:uniqueId val="{00000003-1B84-4323-8A02-F1459B96FFBA}"/>
            </c:ext>
          </c:extLst>
        </c:ser>
        <c:dLbls>
          <c:showLegendKey val="0"/>
          <c:showVal val="0"/>
          <c:showCatName val="0"/>
          <c:showSerName val="0"/>
          <c:showPercent val="0"/>
          <c:showBubbleSize val="0"/>
        </c:dLbls>
        <c:smooth val="0"/>
        <c:axId val="1254306079"/>
        <c:axId val="1254303583"/>
      </c:lineChart>
      <c:catAx>
        <c:axId val="12543060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03583"/>
        <c:crosses val="autoZero"/>
        <c:auto val="1"/>
        <c:lblAlgn val="ctr"/>
        <c:lblOffset val="100"/>
        <c:noMultiLvlLbl val="0"/>
      </c:catAx>
      <c:valAx>
        <c:axId val="1254303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06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4.wmf"/></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4.wmf"/></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4.wmf"/></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4.wmf"/></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6.xml"/><Relationship Id="rId1" Type="http://schemas.openxmlformats.org/officeDocument/2006/relationships/image" Target="../media/image4.wmf"/></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4.wmf"/></Relationships>
</file>

<file path=xl/drawings/_rels/drawing8.xml.rels><?xml version="1.0" encoding="UTF-8" standalone="yes"?>
<Relationships xmlns="http://schemas.openxmlformats.org/package/2006/relationships"><Relationship Id="rId1" Type="http://schemas.openxmlformats.org/officeDocument/2006/relationships/image" Target="../media/image4.wmf"/></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image" Target="../media/image4.wmf"/><Relationship Id="rId5" Type="http://schemas.openxmlformats.org/officeDocument/2006/relationships/chart" Target="../charts/chart9.xml"/><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390525</xdr:colOff>
      <xdr:row>1</xdr:row>
      <xdr:rowOff>9525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81875"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488951</xdr:colOff>
      <xdr:row>0</xdr:row>
      <xdr:rowOff>488951</xdr:rowOff>
    </xdr:from>
    <xdr:to>
      <xdr:col>11</xdr:col>
      <xdr:colOff>298451</xdr:colOff>
      <xdr:row>8</xdr:row>
      <xdr:rowOff>163051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0775951" y="488951"/>
          <a:ext cx="3937000" cy="1922000"/>
        </a:xfrm>
        <a:prstGeom prst="rect">
          <a:avLst/>
        </a:prstGeom>
      </xdr:spPr>
    </xdr:pic>
    <xdr:clientData/>
  </xdr:twoCellAnchor>
  <xdr:twoCellAnchor editAs="oneCell">
    <xdr:from>
      <xdr:col>6</xdr:col>
      <xdr:colOff>565150</xdr:colOff>
      <xdr:row>10</xdr:row>
      <xdr:rowOff>158750</xdr:rowOff>
    </xdr:from>
    <xdr:to>
      <xdr:col>11</xdr:col>
      <xdr:colOff>723900</xdr:colOff>
      <xdr:row>21</xdr:row>
      <xdr:rowOff>5575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852150" y="2774950"/>
          <a:ext cx="4286250" cy="2018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200-000002000000}"/>
            </a:ext>
          </a:extLst>
        </xdr:cNvPr>
        <xdr:cNvSpPr txBox="1"/>
      </xdr:nvSpPr>
      <xdr:spPr>
        <a:xfrm>
          <a:off x="257175" y="152400"/>
          <a:ext cx="71604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10</xdr:col>
      <xdr:colOff>14285</xdr:colOff>
      <xdr:row>6</xdr:row>
      <xdr:rowOff>0</xdr:rowOff>
    </xdr:from>
    <xdr:to>
      <xdr:col>25</xdr:col>
      <xdr:colOff>14285</xdr:colOff>
      <xdr:row>25</xdr:row>
      <xdr:rowOff>38100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333375</xdr:colOff>
      <xdr:row>1</xdr:row>
      <xdr:rowOff>323850</xdr:rowOff>
    </xdr:from>
    <xdr:ext cx="661335"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6486525" y="895350"/>
              <a:ext cx="661335"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de-DE"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−1</m:t>
                        </m:r>
                      </m:sub>
                    </m:sSub>
                  </m:oMath>
                </m:oMathPara>
              </a14:m>
              <a:endParaRPr lang="en-US"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6486525" y="895350"/>
              <a:ext cx="661335"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 𝐴</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𝑡−1</a:t>
              </a:r>
              <a:r>
                <a:rPr lang="en-US" sz="1100" i="0">
                  <a:solidFill>
                    <a:schemeClr val="tx1"/>
                  </a:solidFill>
                  <a:effectLst/>
                  <a:latin typeface="Cambria Math" panose="02040503050406030204" pitchFamily="18" charset="0"/>
                  <a:ea typeface="+mn-ea"/>
                  <a:cs typeface="+mn-cs"/>
                </a:rPr>
                <a:t>)</a:t>
              </a:r>
              <a:endParaRPr lang="en-US" sz="1100">
                <a:solidFill>
                  <a:schemeClr val="tx1"/>
                </a:solidFill>
                <a:effectLst/>
                <a:latin typeface="+mn-lt"/>
                <a:ea typeface="+mn-ea"/>
                <a:cs typeface="+mn-cs"/>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300-000002000000}"/>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8</xdr:col>
      <xdr:colOff>48</xdr:colOff>
      <xdr:row>0</xdr:row>
      <xdr:rowOff>451866</xdr:rowOff>
    </xdr:to>
    <xdr:pic>
      <xdr:nvPicPr>
        <xdr:cNvPr id="3" name="Bild 6">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10</xdr:col>
      <xdr:colOff>14286</xdr:colOff>
      <xdr:row>5</xdr:row>
      <xdr:rowOff>180975</xdr:rowOff>
    </xdr:from>
    <xdr:to>
      <xdr:col>25</xdr:col>
      <xdr:colOff>14286</xdr:colOff>
      <xdr:row>25</xdr:row>
      <xdr:rowOff>28575</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276225</xdr:colOff>
      <xdr:row>1</xdr:row>
      <xdr:rowOff>333375</xdr:rowOff>
    </xdr:from>
    <xdr:ext cx="1702517"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5438775" y="904875"/>
              <a:ext cx="1702517"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de-DE"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−1 </m:t>
                        </m:r>
                      </m:sub>
                    </m:sSub>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−1 </m:t>
                        </m:r>
                      </m:sub>
                    </m:sSub>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−2</m:t>
                        </m:r>
                      </m:sub>
                    </m:sSub>
                    <m:r>
                      <a:rPr lang="de-DE"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5438775" y="904875"/>
              <a:ext cx="1702517"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 𝐴</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𝑡−1 </a:t>
              </a:r>
              <a:r>
                <a:rPr lang="en-US" sz="110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mn-ea"/>
                  <a:cs typeface="+mn-cs"/>
                </a:rPr>
                <a:t>+ (𝐴</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𝑡−1 </a:t>
              </a:r>
              <a:r>
                <a:rPr lang="en-US" sz="1100" i="0">
                  <a:solidFill>
                    <a:schemeClr val="tx1"/>
                  </a:solidFill>
                  <a:effectLst/>
                  <a:latin typeface="Cambria Math" panose="02040503050406030204" pitchFamily="18" charset="0"/>
                  <a:ea typeface="+mn-ea"/>
                  <a:cs typeface="+mn-cs"/>
                </a:rPr>
                <a:t>) 〖</a:t>
              </a:r>
              <a:r>
                <a:rPr lang="de-DE" sz="1100" i="0">
                  <a:solidFill>
                    <a:schemeClr val="tx1"/>
                  </a:solidFill>
                  <a:effectLst/>
                  <a:latin typeface="Cambria Math" panose="02040503050406030204" pitchFamily="18" charset="0"/>
                  <a:ea typeface="+mn-ea"/>
                  <a:cs typeface="+mn-cs"/>
                </a:rPr>
                <a:t>− 𝐴</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𝑡−2</a:t>
              </a:r>
              <a:r>
                <a:rPr lang="en-US" sz="1100" i="0">
                  <a:solidFill>
                    <a:schemeClr val="tx1"/>
                  </a:solidFill>
                  <a:effectLst/>
                  <a:latin typeface="Cambria Math" panose="02040503050406030204" pitchFamily="18" charset="0"/>
                  <a:ea typeface="+mn-ea"/>
                  <a:cs typeface="+mn-cs"/>
                </a:rPr>
                <a:t>)</a:t>
              </a:r>
              <a:r>
                <a:rPr lang="de-DE" sz="1100" i="0">
                  <a:solidFill>
                    <a:schemeClr val="tx1"/>
                  </a:solidFill>
                  <a:effectLst/>
                  <a:latin typeface="Cambria Math" panose="02040503050406030204" pitchFamily="18" charset="0"/>
                  <a:ea typeface="+mn-ea"/>
                  <a:cs typeface="+mn-cs"/>
                </a:rPr>
                <a:t>)</a:t>
              </a:r>
              <a:endParaRPr lang="en-US" sz="1100">
                <a:solidFill>
                  <a:schemeClr val="tx1"/>
                </a:solidFill>
                <a:effectLst/>
                <a:latin typeface="+mn-lt"/>
                <a:ea typeface="+mn-ea"/>
                <a:cs typeface="+mn-cs"/>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400-000002000000}"/>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988949</xdr:colOff>
      <xdr:row>0</xdr:row>
      <xdr:rowOff>455041</xdr:rowOff>
    </xdr:to>
    <xdr:pic>
      <xdr:nvPicPr>
        <xdr:cNvPr id="3" name="Bild 6">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10</xdr:col>
      <xdr:colOff>14285</xdr:colOff>
      <xdr:row>5</xdr:row>
      <xdr:rowOff>180975</xdr:rowOff>
    </xdr:from>
    <xdr:to>
      <xdr:col>25</xdr:col>
      <xdr:colOff>14285</xdr:colOff>
      <xdr:row>25</xdr:row>
      <xdr:rowOff>28575</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400050</xdr:colOff>
      <xdr:row>1</xdr:row>
      <xdr:rowOff>304800</xdr:rowOff>
    </xdr:from>
    <xdr:ext cx="582916"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6553200" y="876300"/>
              <a:ext cx="582916"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oMath>
              </a14:m>
              <a:r>
                <a:rPr lang="en-US" sz="1100"/>
                <a:t> </a:t>
              </a:r>
              <a14:m>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𝑛</m:t>
                      </m:r>
                    </m:sub>
                  </m:sSub>
                </m:oMath>
              </a14:m>
              <a:endParaRPr lang="en-US" sz="1100"/>
            </a:p>
          </xdr:txBody>
        </xdr:sp>
      </mc:Choice>
      <mc:Fallback xmlns="">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6553200" y="876300"/>
              <a:ext cx="582916"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a:t>
              </a:r>
              <a:r>
                <a:rPr lang="en-US" sz="1100" i="0">
                  <a:solidFill>
                    <a:schemeClr val="tx1"/>
                  </a:solidFill>
                  <a:effectLst/>
                  <a:latin typeface="Cambria Math" panose="02040503050406030204" pitchFamily="18" charset="0"/>
                  <a:ea typeface="+mn-ea"/>
                  <a:cs typeface="+mn-cs"/>
                </a:rPr>
                <a:t>=</a:t>
              </a:r>
              <a:r>
                <a:rPr lang="en-US" sz="1100"/>
                <a:t> </a:t>
              </a:r>
              <a:r>
                <a:rPr lang="de-DE" sz="1100" i="0">
                  <a:solidFill>
                    <a:schemeClr val="tx1"/>
                  </a:solidFill>
                  <a:effectLst/>
                  <a:latin typeface="Cambria Math" panose="02040503050406030204" pitchFamily="18" charset="0"/>
                  <a:ea typeface="+mn-ea"/>
                  <a:cs typeface="+mn-cs"/>
                </a:rPr>
                <a:t>𝐴</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𝑡−𝑛</a:t>
              </a:r>
              <a:r>
                <a:rPr lang="en-US" sz="1100" i="0">
                  <a:solidFill>
                    <a:schemeClr val="tx1"/>
                  </a:solidFill>
                  <a:effectLst/>
                  <a:latin typeface="Cambria Math" panose="02040503050406030204" pitchFamily="18" charset="0"/>
                  <a:ea typeface="+mn-ea"/>
                  <a:cs typeface="+mn-cs"/>
                </a:rPr>
                <a:t>)</a:t>
              </a:r>
              <a:endParaRPr lang="en-US" sz="1100"/>
            </a:p>
          </xdr:txBody>
        </xdr:sp>
      </mc:Fallback>
    </mc:AlternateContent>
    <xdr:clientData/>
  </xdr:oneCellAnchor>
  <xdr:twoCellAnchor>
    <xdr:from>
      <xdr:col>9</xdr:col>
      <xdr:colOff>428623</xdr:colOff>
      <xdr:row>5</xdr:row>
      <xdr:rowOff>168273</xdr:rowOff>
    </xdr:from>
    <xdr:to>
      <xdr:col>25</xdr:col>
      <xdr:colOff>380999</xdr:colOff>
      <xdr:row>37</xdr:row>
      <xdr:rowOff>105832</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500-000002000000}"/>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10</xdr:col>
      <xdr:colOff>14286</xdr:colOff>
      <xdr:row>5</xdr:row>
      <xdr:rowOff>180975</xdr:rowOff>
    </xdr:from>
    <xdr:to>
      <xdr:col>25</xdr:col>
      <xdr:colOff>14286</xdr:colOff>
      <xdr:row>25</xdr:row>
      <xdr:rowOff>28575</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42862</xdr:colOff>
      <xdr:row>1</xdr:row>
      <xdr:rowOff>28575</xdr:rowOff>
    </xdr:from>
    <xdr:ext cx="941091" cy="475515"/>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6196012" y="600075"/>
              <a:ext cx="941091" cy="4755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de-DE" sz="1100" i="1">
                            <a:solidFill>
                              <a:schemeClr val="tx1"/>
                            </a:solidFill>
                            <a:effectLst/>
                            <a:latin typeface="Cambria Math" panose="02040503050406030204" pitchFamily="18" charset="0"/>
                            <a:ea typeface="+mn-ea"/>
                            <a:cs typeface="+mn-cs"/>
                          </a:rPr>
                          <m:t>𝑛</m:t>
                        </m:r>
                      </m:den>
                    </m:f>
                    <m:nary>
                      <m:naryPr>
                        <m:chr m:val="∑"/>
                        <m:limLoc m:val="undOvr"/>
                        <m:grow m:val="on"/>
                        <m:ctrlPr>
                          <a:rPr lang="en-US" sz="1100" i="1">
                            <a:solidFill>
                              <a:schemeClr val="tx1"/>
                            </a:solidFill>
                            <a:effectLst/>
                            <a:latin typeface="Cambria Math" panose="02040503050406030204" pitchFamily="18" charset="0"/>
                            <a:ea typeface="+mn-ea"/>
                            <a:cs typeface="+mn-cs"/>
                          </a:rPr>
                        </m:ctrlPr>
                      </m:naryPr>
                      <m:sub>
                        <m:r>
                          <a:rPr lang="de-DE" sz="1100" i="1">
                            <a:solidFill>
                              <a:schemeClr val="tx1"/>
                            </a:solidFill>
                            <a:effectLst/>
                            <a:latin typeface="Cambria Math" panose="02040503050406030204" pitchFamily="18" charset="0"/>
                            <a:ea typeface="+mn-ea"/>
                            <a:cs typeface="+mn-cs"/>
                          </a:rPr>
                          <m:t>𝜏</m:t>
                        </m:r>
                        <m:r>
                          <a:rPr lang="en-US"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𝑛</m:t>
                        </m:r>
                      </m:sub>
                      <m:sup>
                        <m:r>
                          <a:rPr lang="de-DE"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−1</m:t>
                        </m:r>
                      </m:sup>
                      <m:e>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𝜏</m:t>
                            </m:r>
                          </m:sub>
                        </m:sSub>
                      </m:e>
                    </m:nary>
                  </m:oMath>
                </m:oMathPara>
              </a14:m>
              <a:endParaRPr lang="en-US" sz="1100"/>
            </a:p>
          </xdr:txBody>
        </xdr:sp>
      </mc:Choice>
      <mc:Fallback xmlns="">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6196012" y="600075"/>
              <a:ext cx="941091" cy="4755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a:t>
              </a:r>
              <a:r>
                <a:rPr lang="en-US" sz="1100" i="0">
                  <a:solidFill>
                    <a:schemeClr val="tx1"/>
                  </a:solidFill>
                  <a:effectLst/>
                  <a:latin typeface="Cambria Math" panose="02040503050406030204" pitchFamily="18" charset="0"/>
                  <a:ea typeface="+mn-ea"/>
                  <a:cs typeface="+mn-cs"/>
                </a:rPr>
                <a:t>=1/</a:t>
              </a:r>
              <a:r>
                <a:rPr lang="de-DE" sz="1100" i="0">
                  <a:solidFill>
                    <a:schemeClr val="tx1"/>
                  </a:solidFill>
                  <a:effectLst/>
                  <a:latin typeface="Cambria Math" panose="02040503050406030204" pitchFamily="18" charset="0"/>
                  <a:ea typeface="+mn-ea"/>
                  <a:cs typeface="+mn-cs"/>
                </a:rPr>
                <a:t>𝑛</a:t>
              </a:r>
              <a:r>
                <a:rPr lang="en-US" sz="1100" i="0">
                  <a:solidFill>
                    <a:schemeClr val="tx1"/>
                  </a:solidFill>
                  <a:effectLst/>
                  <a:latin typeface="Cambria Math" panose="02040503050406030204" pitchFamily="18" charset="0"/>
                  <a:ea typeface="+mn-ea"/>
                  <a:cs typeface="+mn-cs"/>
                </a:rPr>
                <a:t> ∑129</a:t>
              </a:r>
              <a:r>
                <a:rPr lang="de-DE" sz="1100" i="0">
                  <a:solidFill>
                    <a:schemeClr val="tx1"/>
                  </a:solidFill>
                  <a:effectLst/>
                  <a:latin typeface="Cambria Math" panose="02040503050406030204" pitchFamily="18" charset="0"/>
                  <a:ea typeface="+mn-ea"/>
                  <a:cs typeface="+mn-cs"/>
                </a:rPr>
                <a:t>_</a:t>
              </a:r>
              <a:r>
                <a:rPr lang="en-US" sz="1100" i="0">
                  <a:solidFill>
                    <a:schemeClr val="tx1"/>
                  </a:solidFill>
                  <a:effectLst/>
                  <a:latin typeface="Cambria Math" panose="02040503050406030204" pitchFamily="18" charset="0"/>
                  <a:ea typeface="+mn-ea"/>
                  <a:cs typeface="+mn-cs"/>
                </a:rPr>
                <a:t>(</a:t>
              </a:r>
              <a:r>
                <a:rPr lang="de-DE" sz="1100" i="0">
                  <a:solidFill>
                    <a:schemeClr val="tx1"/>
                  </a:solidFill>
                  <a:effectLst/>
                  <a:latin typeface="Cambria Math" panose="02040503050406030204" pitchFamily="18" charset="0"/>
                  <a:ea typeface="+mn-ea"/>
                  <a:cs typeface="+mn-cs"/>
                </a:rPr>
                <a:t>𝜏</a:t>
              </a:r>
              <a:r>
                <a:rPr lang="en-US" sz="1100" i="0">
                  <a:solidFill>
                    <a:schemeClr val="tx1"/>
                  </a:solidFill>
                  <a:effectLst/>
                  <a:latin typeface="Cambria Math" panose="02040503050406030204" pitchFamily="18" charset="0"/>
                  <a:ea typeface="+mn-ea"/>
                  <a:cs typeface="+mn-cs"/>
                </a:rPr>
                <a:t>=</a:t>
              </a:r>
              <a:r>
                <a:rPr lang="de-DE" sz="1100" i="0">
                  <a:solidFill>
                    <a:schemeClr val="tx1"/>
                  </a:solidFill>
                  <a:effectLst/>
                  <a:latin typeface="Cambria Math" panose="02040503050406030204" pitchFamily="18" charset="0"/>
                  <a:ea typeface="+mn-ea"/>
                  <a:cs typeface="+mn-cs"/>
                </a:rPr>
                <a:t>𝑡−𝑛</a:t>
              </a:r>
              <a:r>
                <a:rPr lang="en-US" sz="1100" i="0">
                  <a:solidFill>
                    <a:schemeClr val="tx1"/>
                  </a:solidFill>
                  <a:effectLst/>
                  <a:latin typeface="Cambria Math" panose="02040503050406030204" pitchFamily="18" charset="0"/>
                  <a:ea typeface="+mn-ea"/>
                  <a:cs typeface="+mn-cs"/>
                </a:rPr>
                <a:t>)^(</a:t>
              </a:r>
              <a:r>
                <a:rPr lang="de-DE" sz="1100" i="0">
                  <a:solidFill>
                    <a:schemeClr val="tx1"/>
                  </a:solidFill>
                  <a:effectLst/>
                  <a:latin typeface="Cambria Math" panose="02040503050406030204" pitchFamily="18" charset="0"/>
                  <a:ea typeface="+mn-ea"/>
                  <a:cs typeface="+mn-cs"/>
                </a:rPr>
                <a:t>𝑡</a:t>
              </a:r>
              <a:r>
                <a:rPr lang="en-US" sz="1100" i="0">
                  <a:solidFill>
                    <a:schemeClr val="tx1"/>
                  </a:solidFill>
                  <a:effectLst/>
                  <a:latin typeface="Cambria Math" panose="02040503050406030204" pitchFamily="18" charset="0"/>
                  <a:ea typeface="+mn-ea"/>
                  <a:cs typeface="+mn-cs"/>
                </a:rPr>
                <a:t>−1)</a:t>
              </a:r>
              <a:r>
                <a:rPr lang="de-DE" sz="1100" i="0">
                  <a:solidFill>
                    <a:schemeClr val="tx1"/>
                  </a:solidFill>
                  <a:effectLst/>
                  <a:latin typeface="Cambria Math" panose="02040503050406030204" pitchFamily="18" charset="0"/>
                  <a:ea typeface="+mn-ea"/>
                  <a:cs typeface="+mn-cs"/>
                </a:rPr>
                <a:t>▒𝐴</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𝜏 </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600-000002000000}"/>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10</xdr:col>
      <xdr:colOff>23811</xdr:colOff>
      <xdr:row>8</xdr:row>
      <xdr:rowOff>180975</xdr:rowOff>
    </xdr:from>
    <xdr:to>
      <xdr:col>24</xdr:col>
      <xdr:colOff>195261</xdr:colOff>
      <xdr:row>28</xdr:row>
      <xdr:rowOff>28575</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333375</xdr:colOff>
      <xdr:row>1</xdr:row>
      <xdr:rowOff>323850</xdr:rowOff>
    </xdr:from>
    <xdr:to>
      <xdr:col>7</xdr:col>
      <xdr:colOff>981075</xdr:colOff>
      <xdr:row>2</xdr:row>
      <xdr:rowOff>161925</xdr:rowOff>
    </xdr:to>
    <xdr:pic>
      <xdr:nvPicPr>
        <xdr:cNvPr id="5" name="Picture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5925" y="895350"/>
          <a:ext cx="1638300" cy="180975"/>
        </a:xfrm>
        <a:prstGeom prst="rect">
          <a:avLst/>
        </a:prstGeom>
        <a:solidFill>
          <a:srgbClr val="FFFF00"/>
        </a:solidFill>
      </xdr:spPr>
    </xdr:pic>
    <xdr:clientData/>
  </xdr:twoCellAnchor>
  <xdr:oneCellAnchor>
    <xdr:from>
      <xdr:col>10</xdr:col>
      <xdr:colOff>1452217</xdr:colOff>
      <xdr:row>6</xdr:row>
      <xdr:rowOff>0</xdr:rowOff>
    </xdr:from>
    <xdr:ext cx="290977" cy="204305"/>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9409043" y="1938130"/>
              <a:ext cx="290977" cy="204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en-US" sz="1100" b="0" i="1">
                            <a:solidFill>
                              <a:schemeClr val="tx1"/>
                            </a:solidFill>
                            <a:effectLst/>
                            <a:latin typeface="Cambria Math" panose="02040503050406030204" pitchFamily="18" charset="0"/>
                            <a:ea typeface="+mn-ea"/>
                            <a:cs typeface="+mn-cs"/>
                          </a:rPr>
                          <m:t>0</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D2E65681-FD8D-40AB-A12B-D396D1C8D5CF}"/>
                </a:ext>
              </a:extLst>
            </xdr:cNvPr>
            <xdr:cNvSpPr txBox="1"/>
          </xdr:nvSpPr>
          <xdr:spPr>
            <a:xfrm>
              <a:off x="9409043" y="1938130"/>
              <a:ext cx="290977" cy="204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en-US" sz="1100" b="0" i="0">
                  <a:solidFill>
                    <a:schemeClr val="tx1"/>
                  </a:solidFill>
                  <a:effectLst/>
                  <a:latin typeface="Cambria Math" panose="02040503050406030204" pitchFamily="18" charset="0"/>
                  <a:ea typeface="+mn-ea"/>
                  <a:cs typeface="+mn-cs"/>
                </a:rPr>
                <a:t>0</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700-000002000000}"/>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988949</xdr:colOff>
      <xdr:row>0</xdr:row>
      <xdr:rowOff>455041</xdr:rowOff>
    </xdr:to>
    <xdr:pic>
      <xdr:nvPicPr>
        <xdr:cNvPr id="3" name="Bild 6">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10</xdr:col>
      <xdr:colOff>9526</xdr:colOff>
      <xdr:row>8</xdr:row>
      <xdr:rowOff>180975</xdr:rowOff>
    </xdr:from>
    <xdr:to>
      <xdr:col>24</xdr:col>
      <xdr:colOff>409576</xdr:colOff>
      <xdr:row>28</xdr:row>
      <xdr:rowOff>28575</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200025</xdr:colOff>
      <xdr:row>1</xdr:row>
      <xdr:rowOff>333375</xdr:rowOff>
    </xdr:from>
    <xdr:ext cx="775405"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6353175" y="904875"/>
              <a:ext cx="775405"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𝑚𝑥</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m:t>
                    </m:r>
                  </m:oMath>
                </m:oMathPara>
              </a14:m>
              <a:endParaRPr lang="en-US" sz="1100"/>
            </a:p>
          </xdr:txBody>
        </xdr:sp>
      </mc:Choice>
      <mc:Fallback xmlns="">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6353175" y="904875"/>
              <a:ext cx="775405"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a:t>
              </a:r>
              <a:r>
                <a:rPr lang="en-US"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𝑚𝑥+𝑐</a:t>
              </a:r>
              <a:endParaRPr lang="en-US"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5</xdr:col>
      <xdr:colOff>273850</xdr:colOff>
      <xdr:row>0</xdr:row>
      <xdr:rowOff>498649</xdr:rowOff>
    </xdr:to>
    <xdr:sp macro="" textlink="">
      <xdr:nvSpPr>
        <xdr:cNvPr id="2" name="Textfeld 10">
          <a:extLst>
            <a:ext uri="{FF2B5EF4-FFF2-40B4-BE49-F238E27FC236}">
              <a16:creationId xmlns:a16="http://schemas.microsoft.com/office/drawing/2014/main" id="{00000000-0008-0000-0800-000002000000}"/>
            </a:ext>
          </a:extLst>
        </xdr:cNvPr>
        <xdr:cNvSpPr txBox="1"/>
      </xdr:nvSpPr>
      <xdr:spPr>
        <a:xfrm>
          <a:off x="257175" y="152400"/>
          <a:ext cx="51792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295275</xdr:colOff>
      <xdr:row>0</xdr:row>
      <xdr:rowOff>180975</xdr:rowOff>
    </xdr:from>
    <xdr:to>
      <xdr:col>8</xdr:col>
      <xdr:colOff>900049</xdr:colOff>
      <xdr:row>0</xdr:row>
      <xdr:rowOff>499491</xdr:rowOff>
    </xdr:to>
    <xdr:pic>
      <xdr:nvPicPr>
        <xdr:cNvPr id="3" name="Bild 6">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8429625" y="180975"/>
          <a:ext cx="604774" cy="3185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00000000-0008-0000-0900-000002000000}"/>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nSpc>
              <a:spcPts val="900"/>
            </a:lnSpc>
          </a:pPr>
          <a:r>
            <a:rPr lang="de-DE" sz="800">
              <a:solidFill>
                <a:srgbClr val="0070C0"/>
              </a:solidFill>
              <a:latin typeface="Arial" panose="020B0604020202020204" pitchFamily="34" charset="0"/>
              <a:cs typeface="Arial" panose="020B0604020202020204" pitchFamily="34" charset="0"/>
            </a:rPr>
            <a:t>Professorship for Supply Chain Management</a:t>
          </a: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988949</xdr:colOff>
      <xdr:row>0</xdr:row>
      <xdr:rowOff>455041</xdr:rowOff>
    </xdr:to>
    <xdr:pic>
      <xdr:nvPicPr>
        <xdr:cNvPr id="3" name="Bild 6">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13</xdr:col>
      <xdr:colOff>295274</xdr:colOff>
      <xdr:row>12</xdr:row>
      <xdr:rowOff>1</xdr:rowOff>
    </xdr:from>
    <xdr:to>
      <xdr:col>27</xdr:col>
      <xdr:colOff>390524</xdr:colOff>
      <xdr:row>36</xdr:row>
      <xdr:rowOff>19050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28576</xdr:colOff>
      <xdr:row>15</xdr:row>
      <xdr:rowOff>166469</xdr:rowOff>
    </xdr:from>
    <xdr:to>
      <xdr:col>22</xdr:col>
      <xdr:colOff>28576</xdr:colOff>
      <xdr:row>29</xdr:row>
      <xdr:rowOff>85726</xdr:rowOff>
    </xdr:to>
    <xdr:cxnSp macro="">
      <xdr:nvCxnSpPr>
        <xdr:cNvPr id="8" name="Straight Connector 7">
          <a:extLst>
            <a:ext uri="{FF2B5EF4-FFF2-40B4-BE49-F238E27FC236}">
              <a16:creationId xmlns:a16="http://schemas.microsoft.com/office/drawing/2014/main" id="{00000000-0008-0000-0900-000008000000}"/>
            </a:ext>
          </a:extLst>
        </xdr:cNvPr>
        <xdr:cNvCxnSpPr/>
      </xdr:nvCxnSpPr>
      <xdr:spPr>
        <a:xfrm flipH="1" flipV="1">
          <a:off x="14230351" y="3614519"/>
          <a:ext cx="0" cy="2595782"/>
        </a:xfrm>
        <a:prstGeom prst="line">
          <a:avLst/>
        </a:prstGeom>
        <a:ln w="12700">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20842</xdr:colOff>
      <xdr:row>16</xdr:row>
      <xdr:rowOff>167786</xdr:rowOff>
    </xdr:from>
    <xdr:to>
      <xdr:col>22</xdr:col>
      <xdr:colOff>478042</xdr:colOff>
      <xdr:row>16</xdr:row>
      <xdr:rowOff>171012</xdr:rowOff>
    </xdr:to>
    <xdr:cxnSp macro="">
      <xdr:nvCxnSpPr>
        <xdr:cNvPr id="9" name="Straight Arrow Connector 8">
          <a:extLst>
            <a:ext uri="{FF2B5EF4-FFF2-40B4-BE49-F238E27FC236}">
              <a16:creationId xmlns:a16="http://schemas.microsoft.com/office/drawing/2014/main" id="{00000000-0008-0000-0900-000009000000}"/>
            </a:ext>
          </a:extLst>
        </xdr:cNvPr>
        <xdr:cNvCxnSpPr/>
      </xdr:nvCxnSpPr>
      <xdr:spPr>
        <a:xfrm>
          <a:off x="14222617" y="3806336"/>
          <a:ext cx="457200" cy="3226"/>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20841</xdr:colOff>
      <xdr:row>26</xdr:row>
      <xdr:rowOff>142143</xdr:rowOff>
    </xdr:from>
    <xdr:to>
      <xdr:col>22</xdr:col>
      <xdr:colOff>478041</xdr:colOff>
      <xdr:row>26</xdr:row>
      <xdr:rowOff>142875</xdr:rowOff>
    </xdr:to>
    <xdr:cxnSp macro="">
      <xdr:nvCxnSpPr>
        <xdr:cNvPr id="10" name="Straight Arrow Connector 9">
          <a:extLst>
            <a:ext uri="{FF2B5EF4-FFF2-40B4-BE49-F238E27FC236}">
              <a16:creationId xmlns:a16="http://schemas.microsoft.com/office/drawing/2014/main" id="{00000000-0008-0000-0900-00000A000000}"/>
            </a:ext>
          </a:extLst>
        </xdr:cNvPr>
        <xdr:cNvCxnSpPr/>
      </xdr:nvCxnSpPr>
      <xdr:spPr>
        <a:xfrm>
          <a:off x="14222616" y="5685693"/>
          <a:ext cx="457200" cy="732"/>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590551</xdr:colOff>
      <xdr:row>15</xdr:row>
      <xdr:rowOff>114300</xdr:rowOff>
    </xdr:from>
    <xdr:ext cx="771524" cy="256737"/>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14182726" y="3562350"/>
          <a:ext cx="771524"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a:t>New data</a:t>
          </a:r>
        </a:p>
      </xdr:txBody>
    </xdr:sp>
    <xdr:clientData/>
  </xdr:oneCellAnchor>
  <xdr:twoCellAnchor editAs="oneCell">
    <xdr:from>
      <xdr:col>28</xdr:col>
      <xdr:colOff>211666</xdr:colOff>
      <xdr:row>7</xdr:row>
      <xdr:rowOff>63109</xdr:rowOff>
    </xdr:from>
    <xdr:to>
      <xdr:col>37</xdr:col>
      <xdr:colOff>169706</xdr:colOff>
      <xdr:row>39</xdr:row>
      <xdr:rowOff>19240</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3"/>
        <a:stretch>
          <a:fillRect/>
        </a:stretch>
      </xdr:blipFill>
      <xdr:spPr>
        <a:xfrm>
          <a:off x="17960308" y="2563911"/>
          <a:ext cx="5455023" cy="5851440"/>
        </a:xfrm>
        <a:prstGeom prst="rect">
          <a:avLst/>
        </a:prstGeom>
      </xdr:spPr>
    </xdr:pic>
    <xdr:clientData/>
  </xdr:twoCellAnchor>
  <xdr:twoCellAnchor>
    <xdr:from>
      <xdr:col>14</xdr:col>
      <xdr:colOff>368754</xdr:colOff>
      <xdr:row>1</xdr:row>
      <xdr:rowOff>409575</xdr:rowOff>
    </xdr:from>
    <xdr:to>
      <xdr:col>18</xdr:col>
      <xdr:colOff>123825</xdr:colOff>
      <xdr:row>5</xdr:row>
      <xdr:rowOff>28575</xdr:rowOff>
    </xdr:to>
    <xdr:grpSp>
      <xdr:nvGrpSpPr>
        <xdr:cNvPr id="12" name="Group 11">
          <a:extLst>
            <a:ext uri="{FF2B5EF4-FFF2-40B4-BE49-F238E27FC236}">
              <a16:creationId xmlns:a16="http://schemas.microsoft.com/office/drawing/2014/main" id="{00000000-0008-0000-0900-00000C000000}"/>
            </a:ext>
          </a:extLst>
        </xdr:cNvPr>
        <xdr:cNvGrpSpPr/>
      </xdr:nvGrpSpPr>
      <xdr:grpSpPr>
        <a:xfrm>
          <a:off x="11455854" y="981075"/>
          <a:ext cx="2174421" cy="1590675"/>
          <a:chOff x="10415814" y="165100"/>
          <a:chExt cx="2506936" cy="1023257"/>
        </a:xfrm>
      </xdr:grpSpPr>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4"/>
          <a:srcRect b="27831"/>
          <a:stretch/>
        </xdr:blipFill>
        <xdr:spPr>
          <a:xfrm>
            <a:off x="10415814" y="165100"/>
            <a:ext cx="2506936" cy="1023257"/>
          </a:xfrm>
          <a:prstGeom prst="rect">
            <a:avLst/>
          </a:prstGeom>
        </xdr:spPr>
      </xdr:pic>
      <xdr:sp macro="" textlink="">
        <xdr:nvSpPr>
          <xdr:cNvPr id="5" name="Rectangle 4">
            <a:extLst>
              <a:ext uri="{FF2B5EF4-FFF2-40B4-BE49-F238E27FC236}">
                <a16:creationId xmlns:a16="http://schemas.microsoft.com/office/drawing/2014/main" id="{00000000-0008-0000-0900-000005000000}"/>
              </a:ext>
            </a:extLst>
          </xdr:cNvPr>
          <xdr:cNvSpPr/>
        </xdr:nvSpPr>
        <xdr:spPr>
          <a:xfrm>
            <a:off x="11811000" y="589643"/>
            <a:ext cx="272143" cy="272143"/>
          </a:xfrm>
          <a:prstGeom prst="rect">
            <a:avLst/>
          </a:prstGeom>
          <a:solidFill>
            <a:schemeClr val="bg1"/>
          </a:solidFill>
          <a:ln>
            <a:solidFill>
              <a:schemeClr val="bg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335643</xdr:colOff>
      <xdr:row>46</xdr:row>
      <xdr:rowOff>27214</xdr:rowOff>
    </xdr:from>
    <xdr:to>
      <xdr:col>27</xdr:col>
      <xdr:colOff>430893</xdr:colOff>
      <xdr:row>68</xdr:row>
      <xdr:rowOff>146049</xdr:rowOff>
    </xdr:to>
    <xdr:graphicFrame macro="">
      <xdr:nvGraphicFramePr>
        <xdr:cNvPr id="13" name="Chart 12">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un.choi@tum.d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5"/>
  <sheetViews>
    <sheetView zoomScale="145" zoomScaleNormal="145" workbookViewId="0">
      <selection activeCell="C7" sqref="C7"/>
    </sheetView>
  </sheetViews>
  <sheetFormatPr defaultRowHeight="15.75" x14ac:dyDescent="0.25"/>
  <sheetData>
    <row r="2" spans="1:3" ht="22.5" x14ac:dyDescent="0.35">
      <c r="A2" s="53"/>
      <c r="B2" s="53" t="s">
        <v>68</v>
      </c>
      <c r="C2" s="53"/>
    </row>
    <row r="3" spans="1:3" ht="22.5" x14ac:dyDescent="0.35">
      <c r="A3" s="53"/>
      <c r="B3" s="53" t="s">
        <v>69</v>
      </c>
      <c r="C3" s="53"/>
    </row>
    <row r="4" spans="1:3" ht="22.5" x14ac:dyDescent="0.35">
      <c r="A4" s="53"/>
      <c r="B4" s="54" t="s">
        <v>73</v>
      </c>
      <c r="C4" s="53"/>
    </row>
    <row r="5" spans="1:3" ht="22.5" x14ac:dyDescent="0.35">
      <c r="A5" s="53"/>
      <c r="B5" s="53"/>
      <c r="C5" s="53"/>
    </row>
  </sheetData>
  <hyperlinks>
    <hyperlink ref="B4" r:id="rId1" display="daun.choi@tum.de"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R38"/>
  <sheetViews>
    <sheetView showGridLines="0" zoomScaleNormal="100" workbookViewId="0">
      <selection activeCell="D39" sqref="D39"/>
    </sheetView>
  </sheetViews>
  <sheetFormatPr defaultColWidth="10.875" defaultRowHeight="15" x14ac:dyDescent="0.25"/>
  <cols>
    <col min="1" max="1" width="3.375" style="1" customWidth="1"/>
    <col min="2" max="2" width="88.375" style="1" customWidth="1"/>
    <col min="3" max="16384" width="10.875" style="1"/>
  </cols>
  <sheetData>
    <row r="1" spans="1:18" ht="45" customHeight="1" thickBot="1" x14ac:dyDescent="0.3"/>
    <row r="2" spans="1:18" ht="45" customHeight="1" x14ac:dyDescent="0.25">
      <c r="B2" s="39" t="s">
        <v>53</v>
      </c>
      <c r="C2" s="28"/>
      <c r="D2" s="36" t="s">
        <v>12</v>
      </c>
      <c r="E2" s="36" t="s">
        <v>13</v>
      </c>
      <c r="F2" s="27" t="s">
        <v>16</v>
      </c>
    </row>
    <row r="3" spans="1:18" ht="15" customHeight="1" x14ac:dyDescent="0.25">
      <c r="A3" s="80">
        <v>1</v>
      </c>
      <c r="B3" s="82" t="s">
        <v>85</v>
      </c>
      <c r="D3" s="76">
        <v>2023</v>
      </c>
      <c r="E3" s="7" t="s">
        <v>0</v>
      </c>
      <c r="F3" s="16">
        <v>19</v>
      </c>
    </row>
    <row r="4" spans="1:18" x14ac:dyDescent="0.25">
      <c r="A4" s="80"/>
      <c r="B4" s="82"/>
      <c r="D4" s="77"/>
      <c r="E4" s="7" t="s">
        <v>1</v>
      </c>
      <c r="F4" s="16">
        <v>24</v>
      </c>
    </row>
    <row r="5" spans="1:18" x14ac:dyDescent="0.25">
      <c r="B5" s="82"/>
      <c r="D5" s="77"/>
      <c r="E5" s="7" t="s">
        <v>2</v>
      </c>
      <c r="F5" s="16">
        <v>30</v>
      </c>
    </row>
    <row r="6" spans="1:18" x14ac:dyDescent="0.25">
      <c r="B6" s="82"/>
      <c r="D6" s="77"/>
      <c r="E6" s="7" t="s">
        <v>3</v>
      </c>
      <c r="F6" s="16">
        <v>32</v>
      </c>
    </row>
    <row r="7" spans="1:18" x14ac:dyDescent="0.25">
      <c r="B7" s="82"/>
      <c r="D7" s="77"/>
      <c r="E7" s="7" t="s">
        <v>4</v>
      </c>
      <c r="F7" s="16">
        <v>29</v>
      </c>
    </row>
    <row r="8" spans="1:18" x14ac:dyDescent="0.25">
      <c r="B8" s="82"/>
      <c r="D8" s="77"/>
      <c r="E8" s="7" t="s">
        <v>5</v>
      </c>
      <c r="F8" s="16">
        <v>33</v>
      </c>
      <c r="M8" s="65" t="s">
        <v>79</v>
      </c>
      <c r="N8" s="65" t="s">
        <v>77</v>
      </c>
      <c r="O8" s="65" t="s">
        <v>78</v>
      </c>
      <c r="P8" s="65" t="s">
        <v>80</v>
      </c>
      <c r="Q8" s="65" t="s">
        <v>81</v>
      </c>
      <c r="R8" s="65" t="s">
        <v>82</v>
      </c>
    </row>
    <row r="9" spans="1:18" x14ac:dyDescent="0.25">
      <c r="B9" s="82"/>
      <c r="D9" s="77"/>
      <c r="E9" s="7" t="s">
        <v>6</v>
      </c>
      <c r="F9" s="16">
        <v>34</v>
      </c>
      <c r="M9" s="65">
        <v>1</v>
      </c>
      <c r="N9" s="1">
        <v>5</v>
      </c>
      <c r="O9" s="1">
        <v>1</v>
      </c>
      <c r="P9" s="1">
        <v>4</v>
      </c>
      <c r="Q9" s="1">
        <v>4</v>
      </c>
      <c r="R9" s="1">
        <v>16</v>
      </c>
    </row>
    <row r="10" spans="1:18" x14ac:dyDescent="0.25">
      <c r="B10" s="82"/>
      <c r="D10" s="77"/>
      <c r="E10" s="7" t="s">
        <v>7</v>
      </c>
      <c r="F10" s="16">
        <v>29</v>
      </c>
      <c r="M10" s="65">
        <v>2</v>
      </c>
      <c r="N10" s="1">
        <v>6</v>
      </c>
      <c r="O10" s="65">
        <v>5</v>
      </c>
      <c r="P10" s="1">
        <v>1</v>
      </c>
      <c r="Q10" s="1">
        <v>1</v>
      </c>
      <c r="R10" s="1">
        <v>1</v>
      </c>
    </row>
    <row r="11" spans="1:18" x14ac:dyDescent="0.25">
      <c r="B11" s="82"/>
      <c r="D11" s="77"/>
      <c r="E11" s="7" t="s">
        <v>8</v>
      </c>
      <c r="F11" s="16">
        <v>29</v>
      </c>
      <c r="M11" s="1">
        <v>3</v>
      </c>
      <c r="N11" s="1">
        <v>2</v>
      </c>
      <c r="O11" s="1">
        <v>3</v>
      </c>
      <c r="P11" s="1">
        <v>-1</v>
      </c>
      <c r="Q11" s="1">
        <v>1</v>
      </c>
      <c r="R11" s="1">
        <v>1</v>
      </c>
    </row>
    <row r="12" spans="1:18" x14ac:dyDescent="0.25">
      <c r="B12" s="82"/>
      <c r="D12" s="77"/>
      <c r="E12" s="7" t="s">
        <v>9</v>
      </c>
      <c r="F12" s="16">
        <v>32</v>
      </c>
      <c r="N12" s="65"/>
      <c r="O12" s="72"/>
      <c r="Q12" s="1">
        <f>AVERAGE(Q9:Q11)</f>
        <v>2</v>
      </c>
      <c r="R12" s="1">
        <f>AVERAGE(R9:R11)</f>
        <v>6</v>
      </c>
    </row>
    <row r="13" spans="1:18" ht="23.45" customHeight="1" x14ac:dyDescent="0.25">
      <c r="B13" s="82"/>
      <c r="D13" s="77"/>
      <c r="E13" s="7" t="s">
        <v>10</v>
      </c>
      <c r="F13" s="16">
        <v>31</v>
      </c>
      <c r="N13" s="65"/>
    </row>
    <row r="14" spans="1:18" ht="15.75" thickBot="1" x14ac:dyDescent="0.3">
      <c r="B14" s="82"/>
      <c r="D14" s="78"/>
      <c r="E14" s="5" t="s">
        <v>11</v>
      </c>
      <c r="F14" s="17">
        <v>25</v>
      </c>
    </row>
    <row r="15" spans="1:18" x14ac:dyDescent="0.25">
      <c r="D15" s="76">
        <v>2024</v>
      </c>
      <c r="E15" s="7" t="s">
        <v>0</v>
      </c>
      <c r="F15" s="16">
        <v>25</v>
      </c>
    </row>
    <row r="16" spans="1:18" ht="15" customHeight="1" x14ac:dyDescent="0.25">
      <c r="A16" s="80">
        <v>2</v>
      </c>
      <c r="B16" s="81" t="s">
        <v>86</v>
      </c>
      <c r="D16" s="77"/>
      <c r="E16" s="7" t="s">
        <v>1</v>
      </c>
      <c r="F16" s="16">
        <v>25</v>
      </c>
    </row>
    <row r="17" spans="1:6" x14ac:dyDescent="0.25">
      <c r="A17" s="80"/>
      <c r="B17" s="81"/>
      <c r="D17" s="77"/>
      <c r="E17" s="7" t="s">
        <v>2</v>
      </c>
      <c r="F17" s="16">
        <v>28</v>
      </c>
    </row>
    <row r="18" spans="1:6" x14ac:dyDescent="0.25">
      <c r="B18" s="81"/>
      <c r="D18" s="77"/>
      <c r="E18" s="7" t="s">
        <v>3</v>
      </c>
      <c r="F18" s="16">
        <v>30</v>
      </c>
    </row>
    <row r="19" spans="1:6" ht="15.95" customHeight="1" x14ac:dyDescent="0.25">
      <c r="B19" s="81"/>
      <c r="D19" s="77"/>
      <c r="E19" s="7" t="s">
        <v>4</v>
      </c>
      <c r="F19" s="16">
        <v>30</v>
      </c>
    </row>
    <row r="20" spans="1:6" x14ac:dyDescent="0.25">
      <c r="D20" s="77"/>
      <c r="E20" s="7" t="s">
        <v>5</v>
      </c>
      <c r="F20" s="16">
        <v>32</v>
      </c>
    </row>
    <row r="21" spans="1:6" x14ac:dyDescent="0.25">
      <c r="D21" s="77"/>
      <c r="E21" s="7" t="s">
        <v>6</v>
      </c>
      <c r="F21" s="16">
        <v>39</v>
      </c>
    </row>
    <row r="22" spans="1:6" x14ac:dyDescent="0.25">
      <c r="D22" s="77"/>
      <c r="E22" s="7" t="s">
        <v>7</v>
      </c>
      <c r="F22" s="16">
        <v>38</v>
      </c>
    </row>
    <row r="23" spans="1:6" x14ac:dyDescent="0.25">
      <c r="D23" s="77"/>
      <c r="E23" s="7" t="s">
        <v>8</v>
      </c>
      <c r="F23" s="16">
        <v>37</v>
      </c>
    </row>
    <row r="24" spans="1:6" x14ac:dyDescent="0.25">
      <c r="D24" s="77"/>
      <c r="E24" s="7" t="s">
        <v>9</v>
      </c>
      <c r="F24" s="16">
        <v>40</v>
      </c>
    </row>
    <row r="25" spans="1:6" x14ac:dyDescent="0.25">
      <c r="D25" s="77"/>
      <c r="E25" s="7" t="s">
        <v>10</v>
      </c>
      <c r="F25" s="16">
        <v>40</v>
      </c>
    </row>
    <row r="26" spans="1:6" ht="15.75" thickBot="1" x14ac:dyDescent="0.3">
      <c r="D26" s="78"/>
      <c r="E26" s="5" t="s">
        <v>11</v>
      </c>
      <c r="F26" s="17">
        <v>33</v>
      </c>
    </row>
    <row r="27" spans="1:6" x14ac:dyDescent="0.25">
      <c r="D27" s="76">
        <v>2025</v>
      </c>
      <c r="E27" s="7" t="s">
        <v>0</v>
      </c>
      <c r="F27" s="16">
        <v>35</v>
      </c>
    </row>
    <row r="28" spans="1:6" x14ac:dyDescent="0.25">
      <c r="D28" s="77"/>
      <c r="E28" s="7" t="s">
        <v>1</v>
      </c>
      <c r="F28" s="16">
        <v>31</v>
      </c>
    </row>
    <row r="29" spans="1:6" x14ac:dyDescent="0.25">
      <c r="D29" s="77"/>
      <c r="E29" s="7" t="s">
        <v>2</v>
      </c>
      <c r="F29" s="16">
        <v>33</v>
      </c>
    </row>
    <row r="30" spans="1:6" x14ac:dyDescent="0.25">
      <c r="D30" s="77"/>
      <c r="E30" s="7" t="s">
        <v>3</v>
      </c>
      <c r="F30" s="16">
        <v>40</v>
      </c>
    </row>
    <row r="31" spans="1:6" x14ac:dyDescent="0.25">
      <c r="D31" s="77"/>
      <c r="E31" s="7" t="s">
        <v>4</v>
      </c>
      <c r="F31" s="16">
        <v>38</v>
      </c>
    </row>
    <row r="32" spans="1:6" x14ac:dyDescent="0.25">
      <c r="D32" s="77"/>
      <c r="E32" s="7" t="s">
        <v>5</v>
      </c>
      <c r="F32" s="16">
        <v>36</v>
      </c>
    </row>
    <row r="33" spans="4:6" x14ac:dyDescent="0.25">
      <c r="D33" s="77"/>
      <c r="E33" s="7" t="s">
        <v>6</v>
      </c>
      <c r="F33" s="16">
        <v>35</v>
      </c>
    </row>
    <row r="34" spans="4:6" x14ac:dyDescent="0.25">
      <c r="D34" s="77"/>
      <c r="E34" s="7" t="s">
        <v>7</v>
      </c>
      <c r="F34" s="16">
        <v>29</v>
      </c>
    </row>
    <row r="35" spans="4:6" x14ac:dyDescent="0.25">
      <c r="D35" s="77"/>
      <c r="E35" s="7" t="s">
        <v>8</v>
      </c>
      <c r="F35" s="16">
        <v>25</v>
      </c>
    </row>
    <row r="36" spans="4:6" x14ac:dyDescent="0.25">
      <c r="D36" s="77"/>
      <c r="E36" s="7" t="s">
        <v>9</v>
      </c>
      <c r="F36" s="16">
        <v>30</v>
      </c>
    </row>
    <row r="37" spans="4:6" x14ac:dyDescent="0.25">
      <c r="D37" s="77"/>
      <c r="E37" s="7" t="s">
        <v>10</v>
      </c>
      <c r="F37" s="16">
        <v>33</v>
      </c>
    </row>
    <row r="38" spans="4:6" ht="15.75" thickBot="1" x14ac:dyDescent="0.3">
      <c r="D38" s="78"/>
      <c r="E38" s="5" t="s">
        <v>11</v>
      </c>
      <c r="F38" s="17">
        <v>40</v>
      </c>
    </row>
  </sheetData>
  <mergeCells count="7">
    <mergeCell ref="D27:D38"/>
    <mergeCell ref="A3:A4"/>
    <mergeCell ref="B16:B19"/>
    <mergeCell ref="A16:A17"/>
    <mergeCell ref="D3:D14"/>
    <mergeCell ref="D15:D26"/>
    <mergeCell ref="B3:B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pageSetUpPr fitToPage="1"/>
  </sheetPr>
  <dimension ref="A1:IL43"/>
  <sheetViews>
    <sheetView showGridLines="0" zoomScale="106" zoomScaleNormal="85" workbookViewId="0">
      <pane ySplit="5" topLeftCell="A6" activePane="bottomLeft" state="frozen"/>
      <selection pane="bottomLeft" activeCell="Z18" sqref="Z18"/>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2" t="s">
        <v>28</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9" t="s">
        <v>12</v>
      </c>
      <c r="C4" s="69" t="s">
        <v>13</v>
      </c>
      <c r="D4" s="83" t="s">
        <v>16</v>
      </c>
      <c r="E4" s="66" t="s">
        <v>18</v>
      </c>
      <c r="F4" s="67"/>
      <c r="G4" s="67"/>
      <c r="H4" s="68"/>
    </row>
    <row r="5" spans="1:246" ht="24.95" customHeight="1" x14ac:dyDescent="0.25">
      <c r="B5" s="70"/>
      <c r="C5" s="70"/>
      <c r="D5" s="84"/>
      <c r="E5" s="9" t="s">
        <v>14</v>
      </c>
      <c r="F5" s="9" t="s">
        <v>15</v>
      </c>
      <c r="G5" s="18" t="s">
        <v>17</v>
      </c>
      <c r="H5" s="8" t="s">
        <v>19</v>
      </c>
    </row>
    <row r="6" spans="1:246" ht="15" customHeight="1" x14ac:dyDescent="0.25">
      <c r="B6" s="76">
        <v>2023</v>
      </c>
      <c r="C6" s="7" t="s">
        <v>0</v>
      </c>
      <c r="D6" s="16">
        <v>19</v>
      </c>
      <c r="E6" s="6"/>
      <c r="F6" s="6"/>
      <c r="G6" s="6"/>
      <c r="H6" s="19"/>
    </row>
    <row r="7" spans="1:246" ht="15" customHeight="1" x14ac:dyDescent="0.25">
      <c r="B7" s="77"/>
      <c r="C7" s="7" t="s">
        <v>1</v>
      </c>
      <c r="D7" s="16">
        <v>24</v>
      </c>
      <c r="E7" s="6">
        <f>D6</f>
        <v>19</v>
      </c>
      <c r="F7" s="6">
        <f>D7-E7</f>
        <v>5</v>
      </c>
      <c r="G7" s="6">
        <f>ABS(F7)</f>
        <v>5</v>
      </c>
      <c r="H7" s="19">
        <f>G7^2</f>
        <v>25</v>
      </c>
    </row>
    <row r="8" spans="1:246" ht="15" customHeight="1" x14ac:dyDescent="0.25">
      <c r="B8" s="77"/>
      <c r="C8" s="7" t="s">
        <v>2</v>
      </c>
      <c r="D8" s="16">
        <v>30</v>
      </c>
      <c r="E8" s="6">
        <f t="shared" ref="E8:E41" si="0">D7</f>
        <v>24</v>
      </c>
      <c r="F8" s="6">
        <f t="shared" ref="F8:F41" si="1">D8-E8</f>
        <v>6</v>
      </c>
      <c r="G8" s="6">
        <f t="shared" ref="G8:G41" si="2">ABS(F8)</f>
        <v>6</v>
      </c>
      <c r="H8" s="19">
        <f t="shared" ref="H8:H41" si="3">G8^2</f>
        <v>36</v>
      </c>
    </row>
    <row r="9" spans="1:246" ht="15" customHeight="1" x14ac:dyDescent="0.25">
      <c r="B9" s="77"/>
      <c r="C9" s="7" t="s">
        <v>3</v>
      </c>
      <c r="D9" s="16">
        <v>32</v>
      </c>
      <c r="E9" s="6">
        <f t="shared" si="0"/>
        <v>30</v>
      </c>
      <c r="F9" s="6">
        <f t="shared" si="1"/>
        <v>2</v>
      </c>
      <c r="G9" s="6">
        <f t="shared" si="2"/>
        <v>2</v>
      </c>
      <c r="H9" s="19">
        <f t="shared" si="3"/>
        <v>4</v>
      </c>
    </row>
    <row r="10" spans="1:246" ht="15" customHeight="1" x14ac:dyDescent="0.25">
      <c r="B10" s="77"/>
      <c r="C10" s="7" t="s">
        <v>4</v>
      </c>
      <c r="D10" s="16">
        <v>29</v>
      </c>
      <c r="E10" s="6">
        <f t="shared" si="0"/>
        <v>32</v>
      </c>
      <c r="F10" s="6">
        <f t="shared" si="1"/>
        <v>-3</v>
      </c>
      <c r="G10" s="6">
        <f t="shared" si="2"/>
        <v>3</v>
      </c>
      <c r="H10" s="19">
        <f t="shared" si="3"/>
        <v>9</v>
      </c>
    </row>
    <row r="11" spans="1:246" ht="15" customHeight="1" x14ac:dyDescent="0.25">
      <c r="B11" s="77"/>
      <c r="C11" s="7" t="s">
        <v>5</v>
      </c>
      <c r="D11" s="16">
        <v>33</v>
      </c>
      <c r="E11" s="6">
        <f t="shared" si="0"/>
        <v>29</v>
      </c>
      <c r="F11" s="6">
        <f t="shared" si="1"/>
        <v>4</v>
      </c>
      <c r="G11" s="6">
        <f t="shared" si="2"/>
        <v>4</v>
      </c>
      <c r="H11" s="19">
        <f t="shared" si="3"/>
        <v>16</v>
      </c>
    </row>
    <row r="12" spans="1:246" ht="15" customHeight="1" x14ac:dyDescent="0.25">
      <c r="B12" s="77"/>
      <c r="C12" s="7" t="s">
        <v>6</v>
      </c>
      <c r="D12" s="16">
        <v>34</v>
      </c>
      <c r="E12" s="6">
        <f t="shared" si="0"/>
        <v>33</v>
      </c>
      <c r="F12" s="6">
        <f t="shared" si="1"/>
        <v>1</v>
      </c>
      <c r="G12" s="6">
        <f t="shared" si="2"/>
        <v>1</v>
      </c>
      <c r="H12" s="19">
        <f t="shared" si="3"/>
        <v>1</v>
      </c>
    </row>
    <row r="13" spans="1:246" ht="15" customHeight="1" x14ac:dyDescent="0.25">
      <c r="B13" s="77"/>
      <c r="C13" s="7" t="s">
        <v>7</v>
      </c>
      <c r="D13" s="16">
        <v>29</v>
      </c>
      <c r="E13" s="6">
        <f t="shared" si="0"/>
        <v>34</v>
      </c>
      <c r="F13" s="6">
        <f t="shared" si="1"/>
        <v>-5</v>
      </c>
      <c r="G13" s="6">
        <f t="shared" si="2"/>
        <v>5</v>
      </c>
      <c r="H13" s="19">
        <f t="shared" si="3"/>
        <v>25</v>
      </c>
    </row>
    <row r="14" spans="1:246" ht="15" customHeight="1" x14ac:dyDescent="0.25">
      <c r="B14" s="77"/>
      <c r="C14" s="7" t="s">
        <v>8</v>
      </c>
      <c r="D14" s="16">
        <v>29</v>
      </c>
      <c r="E14" s="6">
        <f t="shared" si="0"/>
        <v>29</v>
      </c>
      <c r="F14" s="6">
        <f t="shared" si="1"/>
        <v>0</v>
      </c>
      <c r="G14" s="6">
        <f t="shared" si="2"/>
        <v>0</v>
      </c>
      <c r="H14" s="19">
        <f t="shared" si="3"/>
        <v>0</v>
      </c>
    </row>
    <row r="15" spans="1:246" ht="15" customHeight="1" x14ac:dyDescent="0.25">
      <c r="B15" s="77"/>
      <c r="C15" s="7" t="s">
        <v>9</v>
      </c>
      <c r="D15" s="16">
        <v>32</v>
      </c>
      <c r="E15" s="6">
        <f t="shared" si="0"/>
        <v>29</v>
      </c>
      <c r="F15" s="6">
        <f t="shared" si="1"/>
        <v>3</v>
      </c>
      <c r="G15" s="6">
        <f t="shared" si="2"/>
        <v>3</v>
      </c>
      <c r="H15" s="19">
        <f t="shared" si="3"/>
        <v>9</v>
      </c>
    </row>
    <row r="16" spans="1:246" ht="15" customHeight="1" x14ac:dyDescent="0.25">
      <c r="B16" s="77"/>
      <c r="C16" s="7" t="s">
        <v>10</v>
      </c>
      <c r="D16" s="16">
        <v>31</v>
      </c>
      <c r="E16" s="6">
        <f t="shared" si="0"/>
        <v>32</v>
      </c>
      <c r="F16" s="6">
        <f t="shared" si="1"/>
        <v>-1</v>
      </c>
      <c r="G16" s="6">
        <f t="shared" si="2"/>
        <v>1</v>
      </c>
      <c r="H16" s="19">
        <f t="shared" si="3"/>
        <v>1</v>
      </c>
    </row>
    <row r="17" spans="2:8" ht="15" customHeight="1" thickBot="1" x14ac:dyDescent="0.3">
      <c r="B17" s="78"/>
      <c r="C17" s="5" t="s">
        <v>11</v>
      </c>
      <c r="D17" s="17">
        <v>25</v>
      </c>
      <c r="E17" s="4">
        <f t="shared" si="0"/>
        <v>31</v>
      </c>
      <c r="F17" s="4">
        <f t="shared" si="1"/>
        <v>-6</v>
      </c>
      <c r="G17" s="4">
        <f t="shared" si="2"/>
        <v>6</v>
      </c>
      <c r="H17" s="21">
        <f t="shared" si="3"/>
        <v>36</v>
      </c>
    </row>
    <row r="18" spans="2:8" ht="15" customHeight="1" x14ac:dyDescent="0.25">
      <c r="B18" s="76">
        <v>2024</v>
      </c>
      <c r="C18" s="7" t="s">
        <v>0</v>
      </c>
      <c r="D18" s="16">
        <v>25</v>
      </c>
      <c r="E18" s="6">
        <f t="shared" si="0"/>
        <v>25</v>
      </c>
      <c r="F18" s="6">
        <f t="shared" si="1"/>
        <v>0</v>
      </c>
      <c r="G18" s="6">
        <f t="shared" si="2"/>
        <v>0</v>
      </c>
      <c r="H18" s="19">
        <f t="shared" si="3"/>
        <v>0</v>
      </c>
    </row>
    <row r="19" spans="2:8" s="3" customFormat="1" ht="15" customHeight="1" x14ac:dyDescent="0.2">
      <c r="B19" s="77"/>
      <c r="C19" s="7" t="s">
        <v>1</v>
      </c>
      <c r="D19" s="16">
        <v>25</v>
      </c>
      <c r="E19" s="6">
        <f t="shared" si="0"/>
        <v>25</v>
      </c>
      <c r="F19" s="6">
        <f t="shared" si="1"/>
        <v>0</v>
      </c>
      <c r="G19" s="6">
        <f t="shared" si="2"/>
        <v>0</v>
      </c>
      <c r="H19" s="19">
        <f t="shared" si="3"/>
        <v>0</v>
      </c>
    </row>
    <row r="20" spans="2:8" ht="15" customHeight="1" x14ac:dyDescent="0.25">
      <c r="B20" s="77"/>
      <c r="C20" s="7" t="s">
        <v>2</v>
      </c>
      <c r="D20" s="16">
        <v>28</v>
      </c>
      <c r="E20" s="6">
        <f t="shared" si="0"/>
        <v>25</v>
      </c>
      <c r="F20" s="6">
        <f t="shared" si="1"/>
        <v>3</v>
      </c>
      <c r="G20" s="6">
        <f t="shared" si="2"/>
        <v>3</v>
      </c>
      <c r="H20" s="19">
        <f t="shared" si="3"/>
        <v>9</v>
      </c>
    </row>
    <row r="21" spans="2:8" x14ac:dyDescent="0.25">
      <c r="B21" s="77"/>
      <c r="C21" s="7" t="s">
        <v>3</v>
      </c>
      <c r="D21" s="16">
        <v>30</v>
      </c>
      <c r="E21" s="6">
        <f t="shared" si="0"/>
        <v>28</v>
      </c>
      <c r="F21" s="6">
        <f t="shared" si="1"/>
        <v>2</v>
      </c>
      <c r="G21" s="6">
        <f t="shared" si="2"/>
        <v>2</v>
      </c>
      <c r="H21" s="19">
        <f t="shared" si="3"/>
        <v>4</v>
      </c>
    </row>
    <row r="22" spans="2:8" x14ac:dyDescent="0.25">
      <c r="B22" s="77"/>
      <c r="C22" s="7" t="s">
        <v>4</v>
      </c>
      <c r="D22" s="16">
        <v>30</v>
      </c>
      <c r="E22" s="6">
        <f t="shared" si="0"/>
        <v>30</v>
      </c>
      <c r="F22" s="6">
        <f t="shared" si="1"/>
        <v>0</v>
      </c>
      <c r="G22" s="6">
        <f t="shared" si="2"/>
        <v>0</v>
      </c>
      <c r="H22" s="19">
        <f t="shared" si="3"/>
        <v>0</v>
      </c>
    </row>
    <row r="23" spans="2:8" x14ac:dyDescent="0.25">
      <c r="B23" s="77"/>
      <c r="C23" s="7" t="s">
        <v>5</v>
      </c>
      <c r="D23" s="16">
        <v>32</v>
      </c>
      <c r="E23" s="6">
        <f t="shared" si="0"/>
        <v>30</v>
      </c>
      <c r="F23" s="6">
        <f t="shared" si="1"/>
        <v>2</v>
      </c>
      <c r="G23" s="6">
        <f t="shared" si="2"/>
        <v>2</v>
      </c>
      <c r="H23" s="19">
        <f t="shared" si="3"/>
        <v>4</v>
      </c>
    </row>
    <row r="24" spans="2:8" x14ac:dyDescent="0.25">
      <c r="B24" s="77"/>
      <c r="C24" s="7" t="s">
        <v>6</v>
      </c>
      <c r="D24" s="16">
        <v>39</v>
      </c>
      <c r="E24" s="6">
        <f t="shared" si="0"/>
        <v>32</v>
      </c>
      <c r="F24" s="6">
        <f t="shared" si="1"/>
        <v>7</v>
      </c>
      <c r="G24" s="6">
        <f t="shared" si="2"/>
        <v>7</v>
      </c>
      <c r="H24" s="19">
        <f t="shared" si="3"/>
        <v>49</v>
      </c>
    </row>
    <row r="25" spans="2:8" x14ac:dyDescent="0.25">
      <c r="B25" s="77"/>
      <c r="C25" s="7" t="s">
        <v>7</v>
      </c>
      <c r="D25" s="16">
        <v>38</v>
      </c>
      <c r="E25" s="6">
        <f t="shared" si="0"/>
        <v>39</v>
      </c>
      <c r="F25" s="6">
        <f t="shared" si="1"/>
        <v>-1</v>
      </c>
      <c r="G25" s="6">
        <f t="shared" si="2"/>
        <v>1</v>
      </c>
      <c r="H25" s="19">
        <f t="shared" si="3"/>
        <v>1</v>
      </c>
    </row>
    <row r="26" spans="2:8" x14ac:dyDescent="0.25">
      <c r="B26" s="77"/>
      <c r="C26" s="7" t="s">
        <v>8</v>
      </c>
      <c r="D26" s="16">
        <v>37</v>
      </c>
      <c r="E26" s="6">
        <f t="shared" si="0"/>
        <v>38</v>
      </c>
      <c r="F26" s="6">
        <f t="shared" si="1"/>
        <v>-1</v>
      </c>
      <c r="G26" s="6">
        <f t="shared" si="2"/>
        <v>1</v>
      </c>
      <c r="H26" s="19">
        <f t="shared" si="3"/>
        <v>1</v>
      </c>
    </row>
    <row r="27" spans="2:8" x14ac:dyDescent="0.25">
      <c r="B27" s="77"/>
      <c r="C27" s="7" t="s">
        <v>9</v>
      </c>
      <c r="D27" s="16">
        <v>40</v>
      </c>
      <c r="E27" s="6">
        <f t="shared" si="0"/>
        <v>37</v>
      </c>
      <c r="F27" s="6">
        <f t="shared" si="1"/>
        <v>3</v>
      </c>
      <c r="G27" s="6">
        <f t="shared" si="2"/>
        <v>3</v>
      </c>
      <c r="H27" s="19">
        <f t="shared" si="3"/>
        <v>9</v>
      </c>
    </row>
    <row r="28" spans="2:8" x14ac:dyDescent="0.25">
      <c r="B28" s="77"/>
      <c r="C28" s="7" t="s">
        <v>10</v>
      </c>
      <c r="D28" s="16">
        <v>40</v>
      </c>
      <c r="E28" s="6">
        <f t="shared" si="0"/>
        <v>40</v>
      </c>
      <c r="F28" s="6">
        <f t="shared" si="1"/>
        <v>0</v>
      </c>
      <c r="G28" s="6">
        <f t="shared" si="2"/>
        <v>0</v>
      </c>
      <c r="H28" s="19">
        <f t="shared" si="3"/>
        <v>0</v>
      </c>
    </row>
    <row r="29" spans="2:8" ht="15.75" thickBot="1" x14ac:dyDescent="0.3">
      <c r="B29" s="78"/>
      <c r="C29" s="5" t="s">
        <v>11</v>
      </c>
      <c r="D29" s="17">
        <v>33</v>
      </c>
      <c r="E29" s="4">
        <f t="shared" si="0"/>
        <v>40</v>
      </c>
      <c r="F29" s="4">
        <f t="shared" si="1"/>
        <v>-7</v>
      </c>
      <c r="G29" s="4">
        <f t="shared" si="2"/>
        <v>7</v>
      </c>
      <c r="H29" s="21">
        <f t="shared" si="3"/>
        <v>49</v>
      </c>
    </row>
    <row r="30" spans="2:8" x14ac:dyDescent="0.25">
      <c r="B30" s="76">
        <v>2025</v>
      </c>
      <c r="C30" s="7" t="s">
        <v>0</v>
      </c>
      <c r="D30" s="16">
        <v>35</v>
      </c>
      <c r="E30" s="6">
        <f t="shared" si="0"/>
        <v>33</v>
      </c>
      <c r="F30" s="6">
        <f t="shared" si="1"/>
        <v>2</v>
      </c>
      <c r="G30" s="6">
        <f t="shared" si="2"/>
        <v>2</v>
      </c>
      <c r="H30" s="19">
        <f t="shared" si="3"/>
        <v>4</v>
      </c>
    </row>
    <row r="31" spans="2:8" x14ac:dyDescent="0.25">
      <c r="B31" s="77"/>
      <c r="C31" s="7" t="s">
        <v>1</v>
      </c>
      <c r="D31" s="16">
        <v>31</v>
      </c>
      <c r="E31" s="6">
        <f t="shared" si="0"/>
        <v>35</v>
      </c>
      <c r="F31" s="6">
        <f t="shared" si="1"/>
        <v>-4</v>
      </c>
      <c r="G31" s="6">
        <f t="shared" si="2"/>
        <v>4</v>
      </c>
      <c r="H31" s="19">
        <f t="shared" si="3"/>
        <v>16</v>
      </c>
    </row>
    <row r="32" spans="2:8" x14ac:dyDescent="0.25">
      <c r="B32" s="77"/>
      <c r="C32" s="7" t="s">
        <v>2</v>
      </c>
      <c r="D32" s="16">
        <v>33</v>
      </c>
      <c r="E32" s="6">
        <f t="shared" si="0"/>
        <v>31</v>
      </c>
      <c r="F32" s="6">
        <f t="shared" si="1"/>
        <v>2</v>
      </c>
      <c r="G32" s="6">
        <f t="shared" si="2"/>
        <v>2</v>
      </c>
      <c r="H32" s="19">
        <f t="shared" si="3"/>
        <v>4</v>
      </c>
    </row>
    <row r="33" spans="2:8" x14ac:dyDescent="0.25">
      <c r="B33" s="77"/>
      <c r="C33" s="7" t="s">
        <v>3</v>
      </c>
      <c r="D33" s="16">
        <v>40</v>
      </c>
      <c r="E33" s="6">
        <f t="shared" si="0"/>
        <v>33</v>
      </c>
      <c r="F33" s="6">
        <f t="shared" si="1"/>
        <v>7</v>
      </c>
      <c r="G33" s="6">
        <f t="shared" si="2"/>
        <v>7</v>
      </c>
      <c r="H33" s="19">
        <f t="shared" si="3"/>
        <v>49</v>
      </c>
    </row>
    <row r="34" spans="2:8" x14ac:dyDescent="0.25">
      <c r="B34" s="77"/>
      <c r="C34" s="7" t="s">
        <v>4</v>
      </c>
      <c r="D34" s="16">
        <v>38</v>
      </c>
      <c r="E34" s="6">
        <f t="shared" si="0"/>
        <v>40</v>
      </c>
      <c r="F34" s="6">
        <f t="shared" si="1"/>
        <v>-2</v>
      </c>
      <c r="G34" s="6">
        <f t="shared" si="2"/>
        <v>2</v>
      </c>
      <c r="H34" s="19">
        <f t="shared" si="3"/>
        <v>4</v>
      </c>
    </row>
    <row r="35" spans="2:8" x14ac:dyDescent="0.25">
      <c r="B35" s="77"/>
      <c r="C35" s="7" t="s">
        <v>5</v>
      </c>
      <c r="D35" s="16">
        <v>36</v>
      </c>
      <c r="E35" s="6">
        <f t="shared" si="0"/>
        <v>38</v>
      </c>
      <c r="F35" s="6">
        <f t="shared" si="1"/>
        <v>-2</v>
      </c>
      <c r="G35" s="6">
        <f t="shared" si="2"/>
        <v>2</v>
      </c>
      <c r="H35" s="19">
        <f t="shared" si="3"/>
        <v>4</v>
      </c>
    </row>
    <row r="36" spans="2:8" x14ac:dyDescent="0.25">
      <c r="B36" s="77"/>
      <c r="C36" s="7" t="s">
        <v>6</v>
      </c>
      <c r="D36" s="16">
        <v>35</v>
      </c>
      <c r="E36" s="6">
        <f t="shared" si="0"/>
        <v>36</v>
      </c>
      <c r="F36" s="6">
        <f t="shared" si="1"/>
        <v>-1</v>
      </c>
      <c r="G36" s="6">
        <f t="shared" si="2"/>
        <v>1</v>
      </c>
      <c r="H36" s="19">
        <f t="shared" si="3"/>
        <v>1</v>
      </c>
    </row>
    <row r="37" spans="2:8" x14ac:dyDescent="0.25">
      <c r="B37" s="77"/>
      <c r="C37" s="7" t="s">
        <v>7</v>
      </c>
      <c r="D37" s="16">
        <v>29</v>
      </c>
      <c r="E37" s="6">
        <f t="shared" si="0"/>
        <v>35</v>
      </c>
      <c r="F37" s="6">
        <f t="shared" si="1"/>
        <v>-6</v>
      </c>
      <c r="G37" s="6">
        <f t="shared" si="2"/>
        <v>6</v>
      </c>
      <c r="H37" s="19">
        <f t="shared" si="3"/>
        <v>36</v>
      </c>
    </row>
    <row r="38" spans="2:8" x14ac:dyDescent="0.25">
      <c r="B38" s="77"/>
      <c r="C38" s="7" t="s">
        <v>8</v>
      </c>
      <c r="D38" s="16">
        <v>25</v>
      </c>
      <c r="E38" s="6">
        <f t="shared" si="0"/>
        <v>29</v>
      </c>
      <c r="F38" s="6">
        <f t="shared" si="1"/>
        <v>-4</v>
      </c>
      <c r="G38" s="6">
        <f t="shared" si="2"/>
        <v>4</v>
      </c>
      <c r="H38" s="19">
        <f t="shared" si="3"/>
        <v>16</v>
      </c>
    </row>
    <row r="39" spans="2:8" x14ac:dyDescent="0.25">
      <c r="B39" s="77"/>
      <c r="C39" s="7" t="s">
        <v>9</v>
      </c>
      <c r="D39" s="16">
        <v>30</v>
      </c>
      <c r="E39" s="6">
        <f t="shared" si="0"/>
        <v>25</v>
      </c>
      <c r="F39" s="6">
        <f t="shared" si="1"/>
        <v>5</v>
      </c>
      <c r="G39" s="6">
        <f t="shared" si="2"/>
        <v>5</v>
      </c>
      <c r="H39" s="19">
        <f t="shared" si="3"/>
        <v>25</v>
      </c>
    </row>
    <row r="40" spans="2:8" x14ac:dyDescent="0.25">
      <c r="B40" s="77"/>
      <c r="C40" s="7" t="s">
        <v>10</v>
      </c>
      <c r="D40" s="16">
        <v>33</v>
      </c>
      <c r="E40" s="6">
        <f t="shared" si="0"/>
        <v>30</v>
      </c>
      <c r="F40" s="6">
        <f t="shared" si="1"/>
        <v>3</v>
      </c>
      <c r="G40" s="6">
        <f t="shared" si="2"/>
        <v>3</v>
      </c>
      <c r="H40" s="19">
        <f t="shared" si="3"/>
        <v>9</v>
      </c>
    </row>
    <row r="41" spans="2:8" ht="15.75" thickBot="1" x14ac:dyDescent="0.3">
      <c r="B41" s="78"/>
      <c r="C41" s="5" t="s">
        <v>11</v>
      </c>
      <c r="D41" s="17">
        <v>40</v>
      </c>
      <c r="E41" s="4">
        <f t="shared" si="0"/>
        <v>33</v>
      </c>
      <c r="F41" s="4">
        <f t="shared" si="1"/>
        <v>7</v>
      </c>
      <c r="G41" s="4">
        <f t="shared" si="2"/>
        <v>7</v>
      </c>
      <c r="H41" s="21">
        <f t="shared" si="3"/>
        <v>49</v>
      </c>
    </row>
    <row r="42" spans="2:8" x14ac:dyDescent="0.25">
      <c r="G42" s="41">
        <f>AVERAGE(G7:G41)</f>
        <v>3.0571428571428569</v>
      </c>
      <c r="H42" s="42">
        <f>AVERAGE(H7:H41)</f>
        <v>14.428571428571429</v>
      </c>
    </row>
    <row r="43" spans="2:8" x14ac:dyDescent="0.25">
      <c r="G43" s="56" t="s">
        <v>70</v>
      </c>
      <c r="H43" s="56" t="s">
        <v>48</v>
      </c>
    </row>
  </sheetData>
  <mergeCells count="4">
    <mergeCell ref="B30:B41"/>
    <mergeCell ref="B6:B17"/>
    <mergeCell ref="B18:B29"/>
    <mergeCell ref="D4:D5"/>
  </mergeCells>
  <conditionalFormatting sqref="F6:F41">
    <cfRule type="cellIs" dxfId="10" priority="1" operator="lessThan">
      <formula>0</formula>
    </cfRule>
  </conditionalFormatting>
  <pageMargins left="0.3" right="0.3" top="0.3" bottom="0.3" header="0" footer="0"/>
  <pageSetup scale="85"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IL43"/>
  <sheetViews>
    <sheetView showGridLines="0" zoomScaleNormal="100" workbookViewId="0">
      <pane ySplit="5" topLeftCell="A6" activePane="bottomLeft" state="frozen"/>
      <selection pane="bottomLeft" activeCell="E43" sqref="E43"/>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4" t="s">
        <v>29</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88" t="s">
        <v>12</v>
      </c>
      <c r="C4" s="88" t="s">
        <v>13</v>
      </c>
      <c r="D4" s="83" t="s">
        <v>16</v>
      </c>
      <c r="E4" s="85" t="s">
        <v>20</v>
      </c>
      <c r="F4" s="86"/>
      <c r="G4" s="86"/>
      <c r="H4" s="87"/>
    </row>
    <row r="5" spans="1:246" ht="24.95" customHeight="1" x14ac:dyDescent="0.25">
      <c r="B5" s="89"/>
      <c r="C5" s="89"/>
      <c r="D5" s="84"/>
      <c r="E5" s="9" t="s">
        <v>14</v>
      </c>
      <c r="F5" s="9" t="s">
        <v>15</v>
      </c>
      <c r="G5" s="18" t="s">
        <v>17</v>
      </c>
      <c r="H5" s="8" t="s">
        <v>19</v>
      </c>
    </row>
    <row r="6" spans="1:246" ht="15" customHeight="1" x14ac:dyDescent="0.25">
      <c r="B6" s="76">
        <v>2023</v>
      </c>
      <c r="C6" s="7" t="s">
        <v>0</v>
      </c>
      <c r="D6" s="16">
        <v>19</v>
      </c>
      <c r="E6" s="6"/>
      <c r="F6" s="6"/>
      <c r="G6" s="6"/>
      <c r="H6" s="19"/>
    </row>
    <row r="7" spans="1:246" ht="15" customHeight="1" x14ac:dyDescent="0.25">
      <c r="B7" s="77"/>
      <c r="C7" s="7" t="s">
        <v>1</v>
      </c>
      <c r="D7" s="16">
        <v>24</v>
      </c>
      <c r="E7" s="6"/>
      <c r="F7" s="6"/>
      <c r="G7" s="6"/>
      <c r="H7" s="19"/>
    </row>
    <row r="8" spans="1:246" ht="15" customHeight="1" x14ac:dyDescent="0.25">
      <c r="B8" s="77"/>
      <c r="C8" s="7" t="s">
        <v>2</v>
      </c>
      <c r="D8" s="16">
        <v>30</v>
      </c>
      <c r="E8" s="6">
        <f>D7+(D7-D6)</f>
        <v>29</v>
      </c>
      <c r="F8" s="6">
        <f t="shared" ref="F8:F41" si="0">D8-E8</f>
        <v>1</v>
      </c>
      <c r="G8" s="6">
        <f t="shared" ref="G8:G41" si="1">ABS(F8)</f>
        <v>1</v>
      </c>
      <c r="H8" s="19">
        <f t="shared" ref="H8:H41" si="2">G8^2</f>
        <v>1</v>
      </c>
    </row>
    <row r="9" spans="1:246" ht="15" customHeight="1" x14ac:dyDescent="0.25">
      <c r="B9" s="77"/>
      <c r="C9" s="7" t="s">
        <v>3</v>
      </c>
      <c r="D9" s="16">
        <v>32</v>
      </c>
      <c r="E9" s="6">
        <f t="shared" ref="E9:E41" si="3">D8+(D8-D7)</f>
        <v>36</v>
      </c>
      <c r="F9" s="6">
        <f t="shared" si="0"/>
        <v>-4</v>
      </c>
      <c r="G9" s="6">
        <f t="shared" si="1"/>
        <v>4</v>
      </c>
      <c r="H9" s="19">
        <f t="shared" si="2"/>
        <v>16</v>
      </c>
    </row>
    <row r="10" spans="1:246" ht="15" customHeight="1" x14ac:dyDescent="0.25">
      <c r="B10" s="77"/>
      <c r="C10" s="7" t="s">
        <v>4</v>
      </c>
      <c r="D10" s="16">
        <v>29</v>
      </c>
      <c r="E10" s="6">
        <f t="shared" si="3"/>
        <v>34</v>
      </c>
      <c r="F10" s="6">
        <f t="shared" si="0"/>
        <v>-5</v>
      </c>
      <c r="G10" s="6">
        <f t="shared" si="1"/>
        <v>5</v>
      </c>
      <c r="H10" s="19">
        <f t="shared" si="2"/>
        <v>25</v>
      </c>
    </row>
    <row r="11" spans="1:246" ht="15" customHeight="1" x14ac:dyDescent="0.25">
      <c r="B11" s="77"/>
      <c r="C11" s="7" t="s">
        <v>5</v>
      </c>
      <c r="D11" s="16">
        <v>33</v>
      </c>
      <c r="E11" s="6">
        <f t="shared" si="3"/>
        <v>26</v>
      </c>
      <c r="F11" s="6">
        <f t="shared" si="0"/>
        <v>7</v>
      </c>
      <c r="G11" s="6">
        <f t="shared" si="1"/>
        <v>7</v>
      </c>
      <c r="H11" s="19">
        <f t="shared" si="2"/>
        <v>49</v>
      </c>
    </row>
    <row r="12" spans="1:246" ht="15" customHeight="1" x14ac:dyDescent="0.25">
      <c r="B12" s="77"/>
      <c r="C12" s="7" t="s">
        <v>6</v>
      </c>
      <c r="D12" s="16">
        <v>34</v>
      </c>
      <c r="E12" s="6">
        <f t="shared" si="3"/>
        <v>37</v>
      </c>
      <c r="F12" s="6">
        <f t="shared" si="0"/>
        <v>-3</v>
      </c>
      <c r="G12" s="6">
        <f t="shared" si="1"/>
        <v>3</v>
      </c>
      <c r="H12" s="19">
        <f t="shared" si="2"/>
        <v>9</v>
      </c>
    </row>
    <row r="13" spans="1:246" ht="15" customHeight="1" x14ac:dyDescent="0.25">
      <c r="B13" s="77"/>
      <c r="C13" s="7" t="s">
        <v>7</v>
      </c>
      <c r="D13" s="16">
        <v>29</v>
      </c>
      <c r="E13" s="6">
        <f t="shared" si="3"/>
        <v>35</v>
      </c>
      <c r="F13" s="6">
        <f t="shared" si="0"/>
        <v>-6</v>
      </c>
      <c r="G13" s="6">
        <f t="shared" si="1"/>
        <v>6</v>
      </c>
      <c r="H13" s="19">
        <f t="shared" si="2"/>
        <v>36</v>
      </c>
    </row>
    <row r="14" spans="1:246" ht="15" customHeight="1" x14ac:dyDescent="0.25">
      <c r="B14" s="77"/>
      <c r="C14" s="7" t="s">
        <v>8</v>
      </c>
      <c r="D14" s="16">
        <v>29</v>
      </c>
      <c r="E14" s="6">
        <f t="shared" si="3"/>
        <v>24</v>
      </c>
      <c r="F14" s="6">
        <f t="shared" si="0"/>
        <v>5</v>
      </c>
      <c r="G14" s="6">
        <f t="shared" si="1"/>
        <v>5</v>
      </c>
      <c r="H14" s="19">
        <f t="shared" si="2"/>
        <v>25</v>
      </c>
    </row>
    <row r="15" spans="1:246" ht="15" customHeight="1" x14ac:dyDescent="0.25">
      <c r="B15" s="77"/>
      <c r="C15" s="7" t="s">
        <v>9</v>
      </c>
      <c r="D15" s="16">
        <v>32</v>
      </c>
      <c r="E15" s="6">
        <f t="shared" si="3"/>
        <v>29</v>
      </c>
      <c r="F15" s="6">
        <f t="shared" si="0"/>
        <v>3</v>
      </c>
      <c r="G15" s="6">
        <f t="shared" si="1"/>
        <v>3</v>
      </c>
      <c r="H15" s="19">
        <f t="shared" si="2"/>
        <v>9</v>
      </c>
    </row>
    <row r="16" spans="1:246" ht="15" customHeight="1" x14ac:dyDescent="0.25">
      <c r="B16" s="77"/>
      <c r="C16" s="7" t="s">
        <v>10</v>
      </c>
      <c r="D16" s="16">
        <v>31</v>
      </c>
      <c r="E16" s="6">
        <f t="shared" si="3"/>
        <v>35</v>
      </c>
      <c r="F16" s="6">
        <f t="shared" si="0"/>
        <v>-4</v>
      </c>
      <c r="G16" s="6">
        <f t="shared" si="1"/>
        <v>4</v>
      </c>
      <c r="H16" s="19">
        <f t="shared" si="2"/>
        <v>16</v>
      </c>
    </row>
    <row r="17" spans="2:8" ht="15" customHeight="1" thickBot="1" x14ac:dyDescent="0.3">
      <c r="B17" s="78"/>
      <c r="C17" s="5" t="s">
        <v>11</v>
      </c>
      <c r="D17" s="17">
        <v>25</v>
      </c>
      <c r="E17" s="4">
        <f t="shared" si="3"/>
        <v>30</v>
      </c>
      <c r="F17" s="4">
        <f t="shared" si="0"/>
        <v>-5</v>
      </c>
      <c r="G17" s="4">
        <f t="shared" si="1"/>
        <v>5</v>
      </c>
      <c r="H17" s="21">
        <f t="shared" si="2"/>
        <v>25</v>
      </c>
    </row>
    <row r="18" spans="2:8" ht="15" customHeight="1" x14ac:dyDescent="0.25">
      <c r="B18" s="76">
        <v>2024</v>
      </c>
      <c r="C18" s="7" t="s">
        <v>0</v>
      </c>
      <c r="D18" s="16">
        <v>25</v>
      </c>
      <c r="E18" s="6">
        <f t="shared" si="3"/>
        <v>19</v>
      </c>
      <c r="F18" s="6">
        <f t="shared" si="0"/>
        <v>6</v>
      </c>
      <c r="G18" s="6">
        <f t="shared" si="1"/>
        <v>6</v>
      </c>
      <c r="H18" s="19">
        <f t="shared" si="2"/>
        <v>36</v>
      </c>
    </row>
    <row r="19" spans="2:8" s="3" customFormat="1" ht="15" customHeight="1" x14ac:dyDescent="0.2">
      <c r="B19" s="77"/>
      <c r="C19" s="7" t="s">
        <v>1</v>
      </c>
      <c r="D19" s="16">
        <v>25</v>
      </c>
      <c r="E19" s="6">
        <f t="shared" si="3"/>
        <v>25</v>
      </c>
      <c r="F19" s="6">
        <f t="shared" si="0"/>
        <v>0</v>
      </c>
      <c r="G19" s="6">
        <f t="shared" si="1"/>
        <v>0</v>
      </c>
      <c r="H19" s="19">
        <f t="shared" si="2"/>
        <v>0</v>
      </c>
    </row>
    <row r="20" spans="2:8" ht="15" customHeight="1" x14ac:dyDescent="0.25">
      <c r="B20" s="77"/>
      <c r="C20" s="7" t="s">
        <v>2</v>
      </c>
      <c r="D20" s="16">
        <v>28</v>
      </c>
      <c r="E20" s="6">
        <f t="shared" si="3"/>
        <v>25</v>
      </c>
      <c r="F20" s="6">
        <f t="shared" si="0"/>
        <v>3</v>
      </c>
      <c r="G20" s="6">
        <f t="shared" si="1"/>
        <v>3</v>
      </c>
      <c r="H20" s="19">
        <f t="shared" si="2"/>
        <v>9</v>
      </c>
    </row>
    <row r="21" spans="2:8" x14ac:dyDescent="0.25">
      <c r="B21" s="77"/>
      <c r="C21" s="7" t="s">
        <v>3</v>
      </c>
      <c r="D21" s="16">
        <v>30</v>
      </c>
      <c r="E21" s="6">
        <f t="shared" si="3"/>
        <v>31</v>
      </c>
      <c r="F21" s="6">
        <f t="shared" si="0"/>
        <v>-1</v>
      </c>
      <c r="G21" s="6">
        <f t="shared" si="1"/>
        <v>1</v>
      </c>
      <c r="H21" s="19">
        <f t="shared" si="2"/>
        <v>1</v>
      </c>
    </row>
    <row r="22" spans="2:8" x14ac:dyDescent="0.25">
      <c r="B22" s="77"/>
      <c r="C22" s="7" t="s">
        <v>4</v>
      </c>
      <c r="D22" s="16">
        <v>30</v>
      </c>
      <c r="E22" s="6">
        <f t="shared" si="3"/>
        <v>32</v>
      </c>
      <c r="F22" s="6">
        <f t="shared" si="0"/>
        <v>-2</v>
      </c>
      <c r="G22" s="6">
        <f t="shared" si="1"/>
        <v>2</v>
      </c>
      <c r="H22" s="19">
        <f t="shared" si="2"/>
        <v>4</v>
      </c>
    </row>
    <row r="23" spans="2:8" x14ac:dyDescent="0.25">
      <c r="B23" s="77"/>
      <c r="C23" s="7" t="s">
        <v>5</v>
      </c>
      <c r="D23" s="16">
        <v>32</v>
      </c>
      <c r="E23" s="6">
        <f t="shared" si="3"/>
        <v>30</v>
      </c>
      <c r="F23" s="6">
        <f t="shared" si="0"/>
        <v>2</v>
      </c>
      <c r="G23" s="6">
        <f t="shared" si="1"/>
        <v>2</v>
      </c>
      <c r="H23" s="19">
        <f t="shared" si="2"/>
        <v>4</v>
      </c>
    </row>
    <row r="24" spans="2:8" x14ac:dyDescent="0.25">
      <c r="B24" s="77"/>
      <c r="C24" s="7" t="s">
        <v>6</v>
      </c>
      <c r="D24" s="16">
        <v>39</v>
      </c>
      <c r="E24" s="6">
        <f t="shared" si="3"/>
        <v>34</v>
      </c>
      <c r="F24" s="6">
        <f t="shared" si="0"/>
        <v>5</v>
      </c>
      <c r="G24" s="6">
        <f t="shared" si="1"/>
        <v>5</v>
      </c>
      <c r="H24" s="19">
        <f t="shared" si="2"/>
        <v>25</v>
      </c>
    </row>
    <row r="25" spans="2:8" x14ac:dyDescent="0.25">
      <c r="B25" s="77"/>
      <c r="C25" s="7" t="s">
        <v>7</v>
      </c>
      <c r="D25" s="16">
        <v>38</v>
      </c>
      <c r="E25" s="6">
        <f t="shared" si="3"/>
        <v>46</v>
      </c>
      <c r="F25" s="6">
        <f t="shared" si="0"/>
        <v>-8</v>
      </c>
      <c r="G25" s="6">
        <f t="shared" si="1"/>
        <v>8</v>
      </c>
      <c r="H25" s="19">
        <f t="shared" si="2"/>
        <v>64</v>
      </c>
    </row>
    <row r="26" spans="2:8" x14ac:dyDescent="0.25">
      <c r="B26" s="77"/>
      <c r="C26" s="7" t="s">
        <v>8</v>
      </c>
      <c r="D26" s="16">
        <v>37</v>
      </c>
      <c r="E26" s="6">
        <f t="shared" si="3"/>
        <v>37</v>
      </c>
      <c r="F26" s="6">
        <f t="shared" si="0"/>
        <v>0</v>
      </c>
      <c r="G26" s="6">
        <f t="shared" si="1"/>
        <v>0</v>
      </c>
      <c r="H26" s="19">
        <f t="shared" si="2"/>
        <v>0</v>
      </c>
    </row>
    <row r="27" spans="2:8" x14ac:dyDescent="0.25">
      <c r="B27" s="77"/>
      <c r="C27" s="7" t="s">
        <v>9</v>
      </c>
      <c r="D27" s="16">
        <v>40</v>
      </c>
      <c r="E27" s="6">
        <f t="shared" si="3"/>
        <v>36</v>
      </c>
      <c r="F27" s="6">
        <f t="shared" si="0"/>
        <v>4</v>
      </c>
      <c r="G27" s="6">
        <f t="shared" si="1"/>
        <v>4</v>
      </c>
      <c r="H27" s="19">
        <f t="shared" si="2"/>
        <v>16</v>
      </c>
    </row>
    <row r="28" spans="2:8" x14ac:dyDescent="0.25">
      <c r="B28" s="77"/>
      <c r="C28" s="7" t="s">
        <v>10</v>
      </c>
      <c r="D28" s="16">
        <v>40</v>
      </c>
      <c r="E28" s="6">
        <f t="shared" si="3"/>
        <v>43</v>
      </c>
      <c r="F28" s="6">
        <f t="shared" si="0"/>
        <v>-3</v>
      </c>
      <c r="G28" s="6">
        <f t="shared" si="1"/>
        <v>3</v>
      </c>
      <c r="H28" s="19">
        <f t="shared" si="2"/>
        <v>9</v>
      </c>
    </row>
    <row r="29" spans="2:8" ht="15.75" thickBot="1" x14ac:dyDescent="0.3">
      <c r="B29" s="78"/>
      <c r="C29" s="5" t="s">
        <v>11</v>
      </c>
      <c r="D29" s="17">
        <v>33</v>
      </c>
      <c r="E29" s="4">
        <f t="shared" si="3"/>
        <v>40</v>
      </c>
      <c r="F29" s="4">
        <f t="shared" si="0"/>
        <v>-7</v>
      </c>
      <c r="G29" s="4">
        <f t="shared" si="1"/>
        <v>7</v>
      </c>
      <c r="H29" s="21">
        <f t="shared" si="2"/>
        <v>49</v>
      </c>
    </row>
    <row r="30" spans="2:8" x14ac:dyDescent="0.25">
      <c r="B30" s="76">
        <v>2025</v>
      </c>
      <c r="C30" s="7" t="s">
        <v>0</v>
      </c>
      <c r="D30" s="16">
        <v>35</v>
      </c>
      <c r="E30" s="6">
        <f t="shared" si="3"/>
        <v>26</v>
      </c>
      <c r="F30" s="6">
        <f t="shared" si="0"/>
        <v>9</v>
      </c>
      <c r="G30" s="6">
        <f t="shared" si="1"/>
        <v>9</v>
      </c>
      <c r="H30" s="19">
        <f t="shared" si="2"/>
        <v>81</v>
      </c>
    </row>
    <row r="31" spans="2:8" x14ac:dyDescent="0.25">
      <c r="B31" s="77"/>
      <c r="C31" s="7" t="s">
        <v>1</v>
      </c>
      <c r="D31" s="16">
        <v>31</v>
      </c>
      <c r="E31" s="6">
        <f t="shared" si="3"/>
        <v>37</v>
      </c>
      <c r="F31" s="6">
        <f t="shared" si="0"/>
        <v>-6</v>
      </c>
      <c r="G31" s="6">
        <f t="shared" si="1"/>
        <v>6</v>
      </c>
      <c r="H31" s="19">
        <f t="shared" si="2"/>
        <v>36</v>
      </c>
    </row>
    <row r="32" spans="2:8" x14ac:dyDescent="0.25">
      <c r="B32" s="77"/>
      <c r="C32" s="7" t="s">
        <v>2</v>
      </c>
      <c r="D32" s="16">
        <v>33</v>
      </c>
      <c r="E32" s="6">
        <f t="shared" si="3"/>
        <v>27</v>
      </c>
      <c r="F32" s="6">
        <f t="shared" si="0"/>
        <v>6</v>
      </c>
      <c r="G32" s="6">
        <f t="shared" si="1"/>
        <v>6</v>
      </c>
      <c r="H32" s="19">
        <f t="shared" si="2"/>
        <v>36</v>
      </c>
    </row>
    <row r="33" spans="2:8" x14ac:dyDescent="0.25">
      <c r="B33" s="77"/>
      <c r="C33" s="7" t="s">
        <v>3</v>
      </c>
      <c r="D33" s="16">
        <v>40</v>
      </c>
      <c r="E33" s="6">
        <f t="shared" si="3"/>
        <v>35</v>
      </c>
      <c r="F33" s="6">
        <f t="shared" si="0"/>
        <v>5</v>
      </c>
      <c r="G33" s="6">
        <f t="shared" si="1"/>
        <v>5</v>
      </c>
      <c r="H33" s="19">
        <f t="shared" si="2"/>
        <v>25</v>
      </c>
    </row>
    <row r="34" spans="2:8" x14ac:dyDescent="0.25">
      <c r="B34" s="77"/>
      <c r="C34" s="7" t="s">
        <v>4</v>
      </c>
      <c r="D34" s="16">
        <v>38</v>
      </c>
      <c r="E34" s="6">
        <f t="shared" si="3"/>
        <v>47</v>
      </c>
      <c r="F34" s="6">
        <f t="shared" si="0"/>
        <v>-9</v>
      </c>
      <c r="G34" s="6">
        <f t="shared" si="1"/>
        <v>9</v>
      </c>
      <c r="H34" s="19">
        <f t="shared" si="2"/>
        <v>81</v>
      </c>
    </row>
    <row r="35" spans="2:8" x14ac:dyDescent="0.25">
      <c r="B35" s="77"/>
      <c r="C35" s="7" t="s">
        <v>5</v>
      </c>
      <c r="D35" s="16">
        <v>36</v>
      </c>
      <c r="E35" s="6">
        <f t="shared" si="3"/>
        <v>36</v>
      </c>
      <c r="F35" s="6">
        <f t="shared" si="0"/>
        <v>0</v>
      </c>
      <c r="G35" s="6">
        <f t="shared" si="1"/>
        <v>0</v>
      </c>
      <c r="H35" s="19">
        <f t="shared" si="2"/>
        <v>0</v>
      </c>
    </row>
    <row r="36" spans="2:8" x14ac:dyDescent="0.25">
      <c r="B36" s="77"/>
      <c r="C36" s="7" t="s">
        <v>6</v>
      </c>
      <c r="D36" s="16">
        <v>35</v>
      </c>
      <c r="E36" s="6">
        <f t="shared" si="3"/>
        <v>34</v>
      </c>
      <c r="F36" s="6">
        <f t="shared" si="0"/>
        <v>1</v>
      </c>
      <c r="G36" s="6">
        <f t="shared" si="1"/>
        <v>1</v>
      </c>
      <c r="H36" s="19">
        <f t="shared" si="2"/>
        <v>1</v>
      </c>
    </row>
    <row r="37" spans="2:8" x14ac:dyDescent="0.25">
      <c r="B37" s="77"/>
      <c r="C37" s="7" t="s">
        <v>7</v>
      </c>
      <c r="D37" s="16">
        <v>29</v>
      </c>
      <c r="E37" s="6">
        <f t="shared" si="3"/>
        <v>34</v>
      </c>
      <c r="F37" s="6">
        <f t="shared" si="0"/>
        <v>-5</v>
      </c>
      <c r="G37" s="6">
        <f t="shared" si="1"/>
        <v>5</v>
      </c>
      <c r="H37" s="19">
        <f t="shared" si="2"/>
        <v>25</v>
      </c>
    </row>
    <row r="38" spans="2:8" x14ac:dyDescent="0.25">
      <c r="B38" s="77"/>
      <c r="C38" s="7" t="s">
        <v>8</v>
      </c>
      <c r="D38" s="16">
        <v>25</v>
      </c>
      <c r="E38" s="6">
        <f t="shared" si="3"/>
        <v>23</v>
      </c>
      <c r="F38" s="6">
        <f t="shared" si="0"/>
        <v>2</v>
      </c>
      <c r="G38" s="6">
        <f t="shared" si="1"/>
        <v>2</v>
      </c>
      <c r="H38" s="19">
        <f t="shared" si="2"/>
        <v>4</v>
      </c>
    </row>
    <row r="39" spans="2:8" x14ac:dyDescent="0.25">
      <c r="B39" s="77"/>
      <c r="C39" s="7" t="s">
        <v>9</v>
      </c>
      <c r="D39" s="16">
        <v>30</v>
      </c>
      <c r="E39" s="6">
        <f t="shared" si="3"/>
        <v>21</v>
      </c>
      <c r="F39" s="6">
        <f t="shared" si="0"/>
        <v>9</v>
      </c>
      <c r="G39" s="6">
        <f t="shared" si="1"/>
        <v>9</v>
      </c>
      <c r="H39" s="19">
        <f t="shared" si="2"/>
        <v>81</v>
      </c>
    </row>
    <row r="40" spans="2:8" x14ac:dyDescent="0.25">
      <c r="B40" s="77"/>
      <c r="C40" s="7" t="s">
        <v>10</v>
      </c>
      <c r="D40" s="16">
        <v>33</v>
      </c>
      <c r="E40" s="6">
        <f t="shared" si="3"/>
        <v>35</v>
      </c>
      <c r="F40" s="6">
        <f t="shared" si="0"/>
        <v>-2</v>
      </c>
      <c r="G40" s="6">
        <f t="shared" si="1"/>
        <v>2</v>
      </c>
      <c r="H40" s="19">
        <f t="shared" si="2"/>
        <v>4</v>
      </c>
    </row>
    <row r="41" spans="2:8" ht="15.75" thickBot="1" x14ac:dyDescent="0.3">
      <c r="B41" s="78"/>
      <c r="C41" s="5" t="s">
        <v>11</v>
      </c>
      <c r="D41" s="17">
        <v>40</v>
      </c>
      <c r="E41" s="4">
        <f t="shared" si="3"/>
        <v>36</v>
      </c>
      <c r="F41" s="4">
        <f t="shared" si="0"/>
        <v>4</v>
      </c>
      <c r="G41" s="4">
        <f t="shared" si="1"/>
        <v>4</v>
      </c>
      <c r="H41" s="21">
        <f t="shared" si="2"/>
        <v>16</v>
      </c>
    </row>
    <row r="42" spans="2:8" x14ac:dyDescent="0.25">
      <c r="G42" s="41">
        <f>AVERAGE(G8:G41)</f>
        <v>4.1764705882352944</v>
      </c>
      <c r="H42" s="42">
        <f>AVERAGE(H8:H41)</f>
        <v>24.058823529411764</v>
      </c>
    </row>
    <row r="43" spans="2:8" x14ac:dyDescent="0.25">
      <c r="G43" s="56" t="s">
        <v>70</v>
      </c>
      <c r="H43" s="56" t="s">
        <v>48</v>
      </c>
    </row>
  </sheetData>
  <mergeCells count="7">
    <mergeCell ref="B18:B29"/>
    <mergeCell ref="B30:B41"/>
    <mergeCell ref="E4:H4"/>
    <mergeCell ref="B4:B5"/>
    <mergeCell ref="C4:C5"/>
    <mergeCell ref="D4:D5"/>
    <mergeCell ref="B6:B17"/>
  </mergeCells>
  <conditionalFormatting sqref="F6:F41">
    <cfRule type="cellIs" dxfId="9" priority="1" operator="lessThan">
      <formula>0</formula>
    </cfRule>
  </conditionalFormatting>
  <pageMargins left="0.3" right="0.3" top="0.3" bottom="0.3" header="0" footer="0"/>
  <pageSetup scale="8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pageSetUpPr fitToPage="1"/>
  </sheetPr>
  <dimension ref="A1:IL43"/>
  <sheetViews>
    <sheetView showGridLines="0" zoomScale="75" zoomScaleNormal="100" workbookViewId="0">
      <pane ySplit="5" topLeftCell="A6" activePane="bottomLeft" state="frozen"/>
      <selection pane="bottomLeft" activeCell="H25" sqref="H25"/>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4" t="s">
        <v>30</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t="s">
        <v>33</v>
      </c>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88" t="s">
        <v>12</v>
      </c>
      <c r="C4" s="88" t="s">
        <v>13</v>
      </c>
      <c r="D4" s="83" t="s">
        <v>16</v>
      </c>
      <c r="E4" s="85" t="s">
        <v>21</v>
      </c>
      <c r="F4" s="86"/>
      <c r="G4" s="86"/>
      <c r="H4" s="87"/>
    </row>
    <row r="5" spans="1:246" ht="24.95" customHeight="1" x14ac:dyDescent="0.25">
      <c r="B5" s="89"/>
      <c r="C5" s="89"/>
      <c r="D5" s="84"/>
      <c r="E5" s="9" t="s">
        <v>14</v>
      </c>
      <c r="F5" s="9" t="s">
        <v>15</v>
      </c>
      <c r="G5" s="18" t="s">
        <v>17</v>
      </c>
      <c r="H5" s="8" t="s">
        <v>19</v>
      </c>
    </row>
    <row r="6" spans="1:246" ht="15" customHeight="1" x14ac:dyDescent="0.25">
      <c r="B6" s="76">
        <v>2023</v>
      </c>
      <c r="C6" s="7" t="s">
        <v>0</v>
      </c>
      <c r="D6" s="16">
        <v>19</v>
      </c>
      <c r="E6" s="6"/>
      <c r="F6" s="6"/>
      <c r="G6" s="6"/>
      <c r="H6" s="19"/>
    </row>
    <row r="7" spans="1:246" ht="15" customHeight="1" x14ac:dyDescent="0.25">
      <c r="B7" s="77"/>
      <c r="C7" s="7" t="s">
        <v>1</v>
      </c>
      <c r="D7" s="16">
        <v>24</v>
      </c>
      <c r="E7" s="6"/>
      <c r="F7" s="6"/>
      <c r="G7" s="6"/>
      <c r="H7" s="19"/>
    </row>
    <row r="8" spans="1:246" ht="15" customHeight="1" x14ac:dyDescent="0.25">
      <c r="B8" s="77"/>
      <c r="C8" s="7" t="s">
        <v>2</v>
      </c>
      <c r="D8" s="16">
        <v>30</v>
      </c>
      <c r="E8" s="6"/>
      <c r="F8" s="6"/>
      <c r="G8" s="6"/>
      <c r="H8" s="19"/>
    </row>
    <row r="9" spans="1:246" ht="15" customHeight="1" x14ac:dyDescent="0.25">
      <c r="B9" s="77"/>
      <c r="C9" s="7" t="s">
        <v>3</v>
      </c>
      <c r="D9" s="16">
        <v>32</v>
      </c>
      <c r="E9" s="6"/>
      <c r="F9" s="6"/>
      <c r="G9" s="6"/>
      <c r="H9" s="19"/>
    </row>
    <row r="10" spans="1:246" ht="15" customHeight="1" x14ac:dyDescent="0.25">
      <c r="B10" s="77"/>
      <c r="C10" s="7" t="s">
        <v>4</v>
      </c>
      <c r="D10" s="16">
        <v>29</v>
      </c>
      <c r="E10" s="6"/>
      <c r="F10" s="6"/>
      <c r="G10" s="6"/>
      <c r="H10" s="19"/>
    </row>
    <row r="11" spans="1:246" ht="15" customHeight="1" x14ac:dyDescent="0.25">
      <c r="B11" s="77"/>
      <c r="C11" s="7" t="s">
        <v>5</v>
      </c>
      <c r="D11" s="16">
        <v>33</v>
      </c>
      <c r="E11" s="6"/>
      <c r="F11" s="6"/>
      <c r="G11" s="6"/>
      <c r="H11" s="19"/>
    </row>
    <row r="12" spans="1:246" ht="15" customHeight="1" x14ac:dyDescent="0.25">
      <c r="B12" s="77"/>
      <c r="C12" s="7" t="s">
        <v>6</v>
      </c>
      <c r="D12" s="16">
        <v>34</v>
      </c>
      <c r="E12" s="6"/>
      <c r="F12" s="6"/>
      <c r="G12" s="6"/>
      <c r="H12" s="19"/>
    </row>
    <row r="13" spans="1:246" ht="15" customHeight="1" x14ac:dyDescent="0.25">
      <c r="B13" s="77"/>
      <c r="C13" s="7" t="s">
        <v>7</v>
      </c>
      <c r="D13" s="16">
        <v>29</v>
      </c>
      <c r="E13" s="6"/>
      <c r="F13" s="6"/>
      <c r="G13" s="6"/>
      <c r="H13" s="19"/>
    </row>
    <row r="14" spans="1:246" ht="15" customHeight="1" x14ac:dyDescent="0.25">
      <c r="B14" s="77"/>
      <c r="C14" s="7" t="s">
        <v>8</v>
      </c>
      <c r="D14" s="16">
        <v>29</v>
      </c>
      <c r="E14" s="6"/>
      <c r="F14" s="6"/>
      <c r="G14" s="6"/>
      <c r="H14" s="19"/>
    </row>
    <row r="15" spans="1:246" ht="15" customHeight="1" x14ac:dyDescent="0.25">
      <c r="B15" s="77"/>
      <c r="C15" s="7" t="s">
        <v>9</v>
      </c>
      <c r="D15" s="16">
        <v>32</v>
      </c>
      <c r="E15" s="6"/>
      <c r="F15" s="6"/>
      <c r="G15" s="6"/>
      <c r="H15" s="19"/>
    </row>
    <row r="16" spans="1:246" ht="15" customHeight="1" x14ac:dyDescent="0.25">
      <c r="B16" s="77"/>
      <c r="C16" s="7" t="s">
        <v>10</v>
      </c>
      <c r="D16" s="16">
        <v>31</v>
      </c>
      <c r="E16" s="6"/>
      <c r="F16" s="6"/>
      <c r="G16" s="6"/>
      <c r="H16" s="19"/>
    </row>
    <row r="17" spans="2:8" ht="15" customHeight="1" thickBot="1" x14ac:dyDescent="0.3">
      <c r="B17" s="78"/>
      <c r="C17" s="5" t="s">
        <v>11</v>
      </c>
      <c r="D17" s="17">
        <v>25</v>
      </c>
      <c r="E17" s="4"/>
      <c r="F17" s="4"/>
      <c r="G17" s="4"/>
      <c r="H17" s="21"/>
    </row>
    <row r="18" spans="2:8" ht="15" customHeight="1" x14ac:dyDescent="0.25">
      <c r="B18" s="76">
        <v>2024</v>
      </c>
      <c r="C18" s="7" t="s">
        <v>0</v>
      </c>
      <c r="D18" s="16">
        <v>25</v>
      </c>
      <c r="E18" s="6">
        <f>D6</f>
        <v>19</v>
      </c>
      <c r="F18" s="6">
        <f t="shared" ref="F18:F41" si="0">D18-E18</f>
        <v>6</v>
      </c>
      <c r="G18" s="6">
        <f>ABS(F18)</f>
        <v>6</v>
      </c>
      <c r="H18" s="19">
        <f t="shared" ref="H18:H41" si="1">G18^2</f>
        <v>36</v>
      </c>
    </row>
    <row r="19" spans="2:8" s="3" customFormat="1" ht="15" customHeight="1" x14ac:dyDescent="0.2">
      <c r="B19" s="77"/>
      <c r="C19" s="7" t="s">
        <v>1</v>
      </c>
      <c r="D19" s="16">
        <v>25</v>
      </c>
      <c r="E19" s="6">
        <f t="shared" ref="E19:E41" si="2">D7</f>
        <v>24</v>
      </c>
      <c r="F19" s="6">
        <f t="shared" si="0"/>
        <v>1</v>
      </c>
      <c r="G19" s="6">
        <f t="shared" ref="G19:G41" si="3">ABS(F19)</f>
        <v>1</v>
      </c>
      <c r="H19" s="19">
        <f t="shared" si="1"/>
        <v>1</v>
      </c>
    </row>
    <row r="20" spans="2:8" ht="15" customHeight="1" x14ac:dyDescent="0.25">
      <c r="B20" s="77"/>
      <c r="C20" s="7" t="s">
        <v>2</v>
      </c>
      <c r="D20" s="16">
        <v>28</v>
      </c>
      <c r="E20" s="6">
        <f t="shared" si="2"/>
        <v>30</v>
      </c>
      <c r="F20" s="6">
        <f t="shared" si="0"/>
        <v>-2</v>
      </c>
      <c r="G20" s="6">
        <f t="shared" si="3"/>
        <v>2</v>
      </c>
      <c r="H20" s="19">
        <f t="shared" si="1"/>
        <v>4</v>
      </c>
    </row>
    <row r="21" spans="2:8" x14ac:dyDescent="0.25">
      <c r="B21" s="77"/>
      <c r="C21" s="7" t="s">
        <v>3</v>
      </c>
      <c r="D21" s="16">
        <v>30</v>
      </c>
      <c r="E21" s="6">
        <f t="shared" si="2"/>
        <v>32</v>
      </c>
      <c r="F21" s="6">
        <f t="shared" si="0"/>
        <v>-2</v>
      </c>
      <c r="G21" s="6">
        <f t="shared" si="3"/>
        <v>2</v>
      </c>
      <c r="H21" s="19">
        <f t="shared" si="1"/>
        <v>4</v>
      </c>
    </row>
    <row r="22" spans="2:8" x14ac:dyDescent="0.25">
      <c r="B22" s="77"/>
      <c r="C22" s="7" t="s">
        <v>4</v>
      </c>
      <c r="D22" s="16">
        <v>30</v>
      </c>
      <c r="E22" s="6">
        <f t="shared" si="2"/>
        <v>29</v>
      </c>
      <c r="F22" s="6">
        <f t="shared" si="0"/>
        <v>1</v>
      </c>
      <c r="G22" s="6">
        <f t="shared" si="3"/>
        <v>1</v>
      </c>
      <c r="H22" s="19">
        <f t="shared" si="1"/>
        <v>1</v>
      </c>
    </row>
    <row r="23" spans="2:8" x14ac:dyDescent="0.25">
      <c r="B23" s="77"/>
      <c r="C23" s="7" t="s">
        <v>5</v>
      </c>
      <c r="D23" s="16">
        <v>32</v>
      </c>
      <c r="E23" s="6">
        <f t="shared" si="2"/>
        <v>33</v>
      </c>
      <c r="F23" s="6">
        <f t="shared" si="0"/>
        <v>-1</v>
      </c>
      <c r="G23" s="6">
        <f t="shared" si="3"/>
        <v>1</v>
      </c>
      <c r="H23" s="19">
        <f t="shared" si="1"/>
        <v>1</v>
      </c>
    </row>
    <row r="24" spans="2:8" x14ac:dyDescent="0.25">
      <c r="B24" s="77"/>
      <c r="C24" s="7" t="s">
        <v>6</v>
      </c>
      <c r="D24" s="16">
        <v>39</v>
      </c>
      <c r="E24" s="6">
        <f t="shared" si="2"/>
        <v>34</v>
      </c>
      <c r="F24" s="6">
        <f t="shared" si="0"/>
        <v>5</v>
      </c>
      <c r="G24" s="6">
        <f t="shared" si="3"/>
        <v>5</v>
      </c>
      <c r="H24" s="19">
        <f t="shared" si="1"/>
        <v>25</v>
      </c>
    </row>
    <row r="25" spans="2:8" x14ac:dyDescent="0.25">
      <c r="B25" s="77"/>
      <c r="C25" s="7" t="s">
        <v>7</v>
      </c>
      <c r="D25" s="16">
        <v>38</v>
      </c>
      <c r="E25" s="6">
        <f t="shared" si="2"/>
        <v>29</v>
      </c>
      <c r="F25" s="6">
        <f t="shared" si="0"/>
        <v>9</v>
      </c>
      <c r="G25" s="6">
        <f t="shared" si="3"/>
        <v>9</v>
      </c>
      <c r="H25" s="19">
        <f t="shared" si="1"/>
        <v>81</v>
      </c>
    </row>
    <row r="26" spans="2:8" x14ac:dyDescent="0.25">
      <c r="B26" s="77"/>
      <c r="C26" s="7" t="s">
        <v>8</v>
      </c>
      <c r="D26" s="16">
        <v>37</v>
      </c>
      <c r="E26" s="6">
        <f t="shared" si="2"/>
        <v>29</v>
      </c>
      <c r="F26" s="6">
        <f t="shared" si="0"/>
        <v>8</v>
      </c>
      <c r="G26" s="6">
        <f t="shared" si="3"/>
        <v>8</v>
      </c>
      <c r="H26" s="19">
        <f t="shared" si="1"/>
        <v>64</v>
      </c>
    </row>
    <row r="27" spans="2:8" x14ac:dyDescent="0.25">
      <c r="B27" s="77"/>
      <c r="C27" s="7" t="s">
        <v>9</v>
      </c>
      <c r="D27" s="16">
        <v>40</v>
      </c>
      <c r="E27" s="6">
        <f t="shared" si="2"/>
        <v>32</v>
      </c>
      <c r="F27" s="6">
        <f t="shared" si="0"/>
        <v>8</v>
      </c>
      <c r="G27" s="6">
        <f t="shared" si="3"/>
        <v>8</v>
      </c>
      <c r="H27" s="19">
        <f t="shared" si="1"/>
        <v>64</v>
      </c>
    </row>
    <row r="28" spans="2:8" x14ac:dyDescent="0.25">
      <c r="B28" s="77"/>
      <c r="C28" s="7" t="s">
        <v>10</v>
      </c>
      <c r="D28" s="16">
        <v>40</v>
      </c>
      <c r="E28" s="6">
        <f t="shared" si="2"/>
        <v>31</v>
      </c>
      <c r="F28" s="6">
        <f t="shared" si="0"/>
        <v>9</v>
      </c>
      <c r="G28" s="6">
        <f t="shared" si="3"/>
        <v>9</v>
      </c>
      <c r="H28" s="19">
        <f t="shared" si="1"/>
        <v>81</v>
      </c>
    </row>
    <row r="29" spans="2:8" ht="15.75" thickBot="1" x14ac:dyDescent="0.3">
      <c r="B29" s="78"/>
      <c r="C29" s="5" t="s">
        <v>11</v>
      </c>
      <c r="D29" s="17">
        <v>33</v>
      </c>
      <c r="E29" s="4">
        <f t="shared" si="2"/>
        <v>25</v>
      </c>
      <c r="F29" s="4">
        <f t="shared" si="0"/>
        <v>8</v>
      </c>
      <c r="G29" s="4">
        <f t="shared" si="3"/>
        <v>8</v>
      </c>
      <c r="H29" s="21">
        <f t="shared" si="1"/>
        <v>64</v>
      </c>
    </row>
    <row r="30" spans="2:8" x14ac:dyDescent="0.25">
      <c r="B30" s="76">
        <v>2025</v>
      </c>
      <c r="C30" s="7" t="s">
        <v>0</v>
      </c>
      <c r="D30" s="16">
        <v>35</v>
      </c>
      <c r="E30" s="6">
        <f t="shared" si="2"/>
        <v>25</v>
      </c>
      <c r="F30" s="6">
        <f t="shared" si="0"/>
        <v>10</v>
      </c>
      <c r="G30" s="6">
        <f t="shared" si="3"/>
        <v>10</v>
      </c>
      <c r="H30" s="19">
        <f t="shared" si="1"/>
        <v>100</v>
      </c>
    </row>
    <row r="31" spans="2:8" x14ac:dyDescent="0.25">
      <c r="B31" s="77"/>
      <c r="C31" s="7" t="s">
        <v>1</v>
      </c>
      <c r="D31" s="16">
        <v>31</v>
      </c>
      <c r="E31" s="6">
        <f t="shared" si="2"/>
        <v>25</v>
      </c>
      <c r="F31" s="6">
        <f t="shared" si="0"/>
        <v>6</v>
      </c>
      <c r="G31" s="6">
        <f t="shared" si="3"/>
        <v>6</v>
      </c>
      <c r="H31" s="19">
        <f t="shared" si="1"/>
        <v>36</v>
      </c>
    </row>
    <row r="32" spans="2:8" x14ac:dyDescent="0.25">
      <c r="B32" s="77"/>
      <c r="C32" s="7" t="s">
        <v>2</v>
      </c>
      <c r="D32" s="16">
        <v>33</v>
      </c>
      <c r="E32" s="6">
        <f t="shared" si="2"/>
        <v>28</v>
      </c>
      <c r="F32" s="6">
        <f t="shared" si="0"/>
        <v>5</v>
      </c>
      <c r="G32" s="6">
        <f t="shared" si="3"/>
        <v>5</v>
      </c>
      <c r="H32" s="19">
        <f t="shared" si="1"/>
        <v>25</v>
      </c>
    </row>
    <row r="33" spans="2:8" x14ac:dyDescent="0.25">
      <c r="B33" s="77"/>
      <c r="C33" s="7" t="s">
        <v>3</v>
      </c>
      <c r="D33" s="16">
        <v>40</v>
      </c>
      <c r="E33" s="6">
        <f t="shared" si="2"/>
        <v>30</v>
      </c>
      <c r="F33" s="6">
        <f t="shared" si="0"/>
        <v>10</v>
      </c>
      <c r="G33" s="6">
        <f t="shared" si="3"/>
        <v>10</v>
      </c>
      <c r="H33" s="19">
        <f t="shared" si="1"/>
        <v>100</v>
      </c>
    </row>
    <row r="34" spans="2:8" x14ac:dyDescent="0.25">
      <c r="B34" s="77"/>
      <c r="C34" s="7" t="s">
        <v>4</v>
      </c>
      <c r="D34" s="16">
        <v>38</v>
      </c>
      <c r="E34" s="6">
        <f t="shared" si="2"/>
        <v>30</v>
      </c>
      <c r="F34" s="6">
        <f t="shared" si="0"/>
        <v>8</v>
      </c>
      <c r="G34" s="6">
        <f t="shared" si="3"/>
        <v>8</v>
      </c>
      <c r="H34" s="19">
        <f t="shared" si="1"/>
        <v>64</v>
      </c>
    </row>
    <row r="35" spans="2:8" x14ac:dyDescent="0.25">
      <c r="B35" s="77"/>
      <c r="C35" s="7" t="s">
        <v>5</v>
      </c>
      <c r="D35" s="16">
        <v>36</v>
      </c>
      <c r="E35" s="6">
        <f t="shared" si="2"/>
        <v>32</v>
      </c>
      <c r="F35" s="6">
        <f t="shared" si="0"/>
        <v>4</v>
      </c>
      <c r="G35" s="6">
        <f t="shared" si="3"/>
        <v>4</v>
      </c>
      <c r="H35" s="19">
        <f t="shared" si="1"/>
        <v>16</v>
      </c>
    </row>
    <row r="36" spans="2:8" x14ac:dyDescent="0.25">
      <c r="B36" s="77"/>
      <c r="C36" s="7" t="s">
        <v>6</v>
      </c>
      <c r="D36" s="16">
        <v>35</v>
      </c>
      <c r="E36" s="6">
        <f t="shared" si="2"/>
        <v>39</v>
      </c>
      <c r="F36" s="6">
        <f t="shared" si="0"/>
        <v>-4</v>
      </c>
      <c r="G36" s="6">
        <f t="shared" si="3"/>
        <v>4</v>
      </c>
      <c r="H36" s="19">
        <f t="shared" si="1"/>
        <v>16</v>
      </c>
    </row>
    <row r="37" spans="2:8" x14ac:dyDescent="0.25">
      <c r="B37" s="77"/>
      <c r="C37" s="7" t="s">
        <v>7</v>
      </c>
      <c r="D37" s="16">
        <v>29</v>
      </c>
      <c r="E37" s="6">
        <f t="shared" si="2"/>
        <v>38</v>
      </c>
      <c r="F37" s="6">
        <f t="shared" si="0"/>
        <v>-9</v>
      </c>
      <c r="G37" s="6">
        <f t="shared" si="3"/>
        <v>9</v>
      </c>
      <c r="H37" s="19">
        <f t="shared" si="1"/>
        <v>81</v>
      </c>
    </row>
    <row r="38" spans="2:8" x14ac:dyDescent="0.25">
      <c r="B38" s="77"/>
      <c r="C38" s="7" t="s">
        <v>8</v>
      </c>
      <c r="D38" s="16">
        <v>25</v>
      </c>
      <c r="E38" s="6">
        <f t="shared" si="2"/>
        <v>37</v>
      </c>
      <c r="F38" s="6">
        <f t="shared" si="0"/>
        <v>-12</v>
      </c>
      <c r="G38" s="6">
        <f t="shared" si="3"/>
        <v>12</v>
      </c>
      <c r="H38" s="19">
        <f t="shared" si="1"/>
        <v>144</v>
      </c>
    </row>
    <row r="39" spans="2:8" x14ac:dyDescent="0.25">
      <c r="B39" s="77"/>
      <c r="C39" s="7" t="s">
        <v>9</v>
      </c>
      <c r="D39" s="16">
        <v>30</v>
      </c>
      <c r="E39" s="6">
        <f t="shared" si="2"/>
        <v>40</v>
      </c>
      <c r="F39" s="6">
        <f t="shared" si="0"/>
        <v>-10</v>
      </c>
      <c r="G39" s="6">
        <f t="shared" si="3"/>
        <v>10</v>
      </c>
      <c r="H39" s="19">
        <f t="shared" si="1"/>
        <v>100</v>
      </c>
    </row>
    <row r="40" spans="2:8" x14ac:dyDescent="0.25">
      <c r="B40" s="77"/>
      <c r="C40" s="7" t="s">
        <v>10</v>
      </c>
      <c r="D40" s="16">
        <v>33</v>
      </c>
      <c r="E40" s="6">
        <f t="shared" si="2"/>
        <v>40</v>
      </c>
      <c r="F40" s="6">
        <f t="shared" si="0"/>
        <v>-7</v>
      </c>
      <c r="G40" s="6">
        <f t="shared" si="3"/>
        <v>7</v>
      </c>
      <c r="H40" s="19">
        <f t="shared" si="1"/>
        <v>49</v>
      </c>
    </row>
    <row r="41" spans="2:8" ht="15.75" thickBot="1" x14ac:dyDescent="0.3">
      <c r="B41" s="78"/>
      <c r="C41" s="5" t="s">
        <v>11</v>
      </c>
      <c r="D41" s="17">
        <v>40</v>
      </c>
      <c r="E41" s="4">
        <f t="shared" si="2"/>
        <v>33</v>
      </c>
      <c r="F41" s="4">
        <f t="shared" si="0"/>
        <v>7</v>
      </c>
      <c r="G41" s="4">
        <f t="shared" si="3"/>
        <v>7</v>
      </c>
      <c r="H41" s="21">
        <f t="shared" si="1"/>
        <v>49</v>
      </c>
    </row>
    <row r="42" spans="2:8" x14ac:dyDescent="0.25">
      <c r="G42" s="41">
        <f>AVERAGE(G18:G41)</f>
        <v>6.333333333333333</v>
      </c>
      <c r="H42" s="42">
        <f>AVERAGE(H18:H41)</f>
        <v>50.25</v>
      </c>
    </row>
    <row r="43" spans="2:8" x14ac:dyDescent="0.25">
      <c r="G43" s="56" t="s">
        <v>70</v>
      </c>
      <c r="H43" s="56" t="s">
        <v>48</v>
      </c>
    </row>
  </sheetData>
  <mergeCells count="7">
    <mergeCell ref="B18:B29"/>
    <mergeCell ref="B30:B41"/>
    <mergeCell ref="E4:H4"/>
    <mergeCell ref="B4:B5"/>
    <mergeCell ref="C4:C5"/>
    <mergeCell ref="D4:D5"/>
    <mergeCell ref="B6:B17"/>
  </mergeCells>
  <conditionalFormatting sqref="F6:F41">
    <cfRule type="cellIs" dxfId="8" priority="1" operator="lessThan">
      <formula>0</formula>
    </cfRule>
  </conditionalFormatting>
  <pageMargins left="0.3" right="0.3" top="0.3" bottom="0.3" header="0" footer="0"/>
  <pageSetup scale="85"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A1:IL43"/>
  <sheetViews>
    <sheetView showGridLines="0" zoomScale="115" zoomScaleNormal="115" workbookViewId="0">
      <pane ySplit="5" topLeftCell="A20" activePane="bottomLeft" state="frozen"/>
      <selection pane="bottomLeft" activeCell="G52" sqref="G52"/>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3" t="s">
        <v>31</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19.5" customHeight="1" thickBot="1" x14ac:dyDescent="0.3">
      <c r="A3" s="12"/>
      <c r="B3" s="74" t="s">
        <v>32</v>
      </c>
      <c r="C3" s="74"/>
      <c r="D3" s="73"/>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88" t="s">
        <v>12</v>
      </c>
      <c r="C4" s="88" t="s">
        <v>13</v>
      </c>
      <c r="D4" s="83" t="s">
        <v>16</v>
      </c>
      <c r="E4" s="85" t="s">
        <v>22</v>
      </c>
      <c r="F4" s="86"/>
      <c r="G4" s="86"/>
      <c r="H4" s="87"/>
    </row>
    <row r="5" spans="1:246" ht="24.95" customHeight="1" x14ac:dyDescent="0.25">
      <c r="B5" s="89"/>
      <c r="C5" s="89"/>
      <c r="D5" s="84"/>
      <c r="E5" s="9" t="s">
        <v>14</v>
      </c>
      <c r="F5" s="9" t="s">
        <v>15</v>
      </c>
      <c r="G5" s="18" t="s">
        <v>17</v>
      </c>
      <c r="H5" s="8" t="s">
        <v>19</v>
      </c>
    </row>
    <row r="6" spans="1:246" ht="15" customHeight="1" x14ac:dyDescent="0.25">
      <c r="B6" s="76">
        <v>2023</v>
      </c>
      <c r="C6" s="7" t="s">
        <v>0</v>
      </c>
      <c r="D6" s="16">
        <v>19</v>
      </c>
      <c r="E6" s="6"/>
      <c r="F6" s="6"/>
      <c r="G6" s="6"/>
      <c r="H6" s="19"/>
    </row>
    <row r="7" spans="1:246" ht="15" customHeight="1" x14ac:dyDescent="0.25">
      <c r="B7" s="77"/>
      <c r="C7" s="7" t="s">
        <v>1</v>
      </c>
      <c r="D7" s="16">
        <v>24</v>
      </c>
      <c r="E7" s="6"/>
      <c r="F7" s="6"/>
      <c r="G7" s="6"/>
      <c r="H7" s="19"/>
    </row>
    <row r="8" spans="1:246" ht="15" customHeight="1" x14ac:dyDescent="0.25">
      <c r="B8" s="77"/>
      <c r="C8" s="7" t="s">
        <v>2</v>
      </c>
      <c r="D8" s="16">
        <v>30</v>
      </c>
      <c r="E8" s="6"/>
      <c r="F8" s="6"/>
      <c r="G8" s="6"/>
      <c r="H8" s="19"/>
    </row>
    <row r="9" spans="1:246" ht="15" customHeight="1" x14ac:dyDescent="0.25">
      <c r="B9" s="77"/>
      <c r="C9" s="7" t="s">
        <v>3</v>
      </c>
      <c r="D9" s="16">
        <v>32</v>
      </c>
      <c r="E9" s="23">
        <f>AVERAGE(D6:D8)</f>
        <v>24.333333333333332</v>
      </c>
      <c r="F9" s="23">
        <f t="shared" ref="F9:F17" si="0">D9-E9</f>
        <v>7.6666666666666679</v>
      </c>
      <c r="G9" s="23">
        <f t="shared" ref="G9:G17" si="1">ABS(F9)</f>
        <v>7.6666666666666679</v>
      </c>
      <c r="H9" s="25">
        <f t="shared" ref="H9:H17" si="2">G9^2</f>
        <v>58.777777777777793</v>
      </c>
    </row>
    <row r="10" spans="1:246" ht="15" customHeight="1" x14ac:dyDescent="0.25">
      <c r="B10" s="77"/>
      <c r="C10" s="7" t="s">
        <v>4</v>
      </c>
      <c r="D10" s="16">
        <v>29</v>
      </c>
      <c r="E10" s="23">
        <f t="shared" ref="E10:E41" si="3">AVERAGE(D7:D9)</f>
        <v>28.666666666666668</v>
      </c>
      <c r="F10" s="23">
        <f t="shared" si="0"/>
        <v>0.33333333333333215</v>
      </c>
      <c r="G10" s="23">
        <f t="shared" si="1"/>
        <v>0.33333333333333215</v>
      </c>
      <c r="H10" s="25">
        <f t="shared" si="2"/>
        <v>0.11111111111111033</v>
      </c>
    </row>
    <row r="11" spans="1:246" ht="15" customHeight="1" x14ac:dyDescent="0.25">
      <c r="B11" s="77"/>
      <c r="C11" s="7" t="s">
        <v>5</v>
      </c>
      <c r="D11" s="16">
        <v>33</v>
      </c>
      <c r="E11" s="23">
        <f t="shared" si="3"/>
        <v>30.333333333333332</v>
      </c>
      <c r="F11" s="23">
        <f t="shared" si="0"/>
        <v>2.6666666666666679</v>
      </c>
      <c r="G11" s="23">
        <f t="shared" si="1"/>
        <v>2.6666666666666679</v>
      </c>
      <c r="H11" s="25">
        <f t="shared" si="2"/>
        <v>7.1111111111111178</v>
      </c>
    </row>
    <row r="12" spans="1:246" ht="15" customHeight="1" x14ac:dyDescent="0.25">
      <c r="B12" s="77"/>
      <c r="C12" s="7" t="s">
        <v>6</v>
      </c>
      <c r="D12" s="16">
        <v>34</v>
      </c>
      <c r="E12" s="23">
        <f t="shared" si="3"/>
        <v>31.333333333333332</v>
      </c>
      <c r="F12" s="23">
        <f t="shared" si="0"/>
        <v>2.6666666666666679</v>
      </c>
      <c r="G12" s="23">
        <f t="shared" si="1"/>
        <v>2.6666666666666679</v>
      </c>
      <c r="H12" s="25">
        <f t="shared" si="2"/>
        <v>7.1111111111111178</v>
      </c>
    </row>
    <row r="13" spans="1:246" ht="15" customHeight="1" x14ac:dyDescent="0.25">
      <c r="B13" s="77"/>
      <c r="C13" s="7" t="s">
        <v>7</v>
      </c>
      <c r="D13" s="16">
        <v>29</v>
      </c>
      <c r="E13" s="23">
        <f t="shared" si="3"/>
        <v>32</v>
      </c>
      <c r="F13" s="23">
        <f t="shared" si="0"/>
        <v>-3</v>
      </c>
      <c r="G13" s="23">
        <f t="shared" si="1"/>
        <v>3</v>
      </c>
      <c r="H13" s="25">
        <f t="shared" si="2"/>
        <v>9</v>
      </c>
    </row>
    <row r="14" spans="1:246" ht="15" customHeight="1" x14ac:dyDescent="0.25">
      <c r="B14" s="77"/>
      <c r="C14" s="7" t="s">
        <v>8</v>
      </c>
      <c r="D14" s="16">
        <v>29</v>
      </c>
      <c r="E14" s="23">
        <f t="shared" si="3"/>
        <v>32</v>
      </c>
      <c r="F14" s="23">
        <f t="shared" si="0"/>
        <v>-3</v>
      </c>
      <c r="G14" s="23">
        <f t="shared" si="1"/>
        <v>3</v>
      </c>
      <c r="H14" s="25">
        <f t="shared" si="2"/>
        <v>9</v>
      </c>
    </row>
    <row r="15" spans="1:246" ht="15" customHeight="1" x14ac:dyDescent="0.25">
      <c r="B15" s="77"/>
      <c r="C15" s="7" t="s">
        <v>9</v>
      </c>
      <c r="D15" s="16">
        <v>32</v>
      </c>
      <c r="E15" s="23">
        <f t="shared" si="3"/>
        <v>30.666666666666668</v>
      </c>
      <c r="F15" s="23">
        <f t="shared" si="0"/>
        <v>1.3333333333333321</v>
      </c>
      <c r="G15" s="23">
        <f t="shared" si="1"/>
        <v>1.3333333333333321</v>
      </c>
      <c r="H15" s="25">
        <f t="shared" si="2"/>
        <v>1.7777777777777746</v>
      </c>
    </row>
    <row r="16" spans="1:246" ht="15" customHeight="1" x14ac:dyDescent="0.25">
      <c r="B16" s="77"/>
      <c r="C16" s="7" t="s">
        <v>10</v>
      </c>
      <c r="D16" s="16">
        <v>31</v>
      </c>
      <c r="E16" s="23">
        <f t="shared" si="3"/>
        <v>30</v>
      </c>
      <c r="F16" s="23">
        <f t="shared" si="0"/>
        <v>1</v>
      </c>
      <c r="G16" s="23">
        <f t="shared" si="1"/>
        <v>1</v>
      </c>
      <c r="H16" s="25">
        <f t="shared" si="2"/>
        <v>1</v>
      </c>
    </row>
    <row r="17" spans="2:8" ht="15" customHeight="1" thickBot="1" x14ac:dyDescent="0.3">
      <c r="B17" s="78"/>
      <c r="C17" s="5" t="s">
        <v>11</v>
      </c>
      <c r="D17" s="17">
        <v>25</v>
      </c>
      <c r="E17" s="23">
        <f t="shared" si="3"/>
        <v>30.666666666666668</v>
      </c>
      <c r="F17" s="24">
        <f t="shared" si="0"/>
        <v>-5.6666666666666679</v>
      </c>
      <c r="G17" s="24">
        <f t="shared" si="1"/>
        <v>5.6666666666666679</v>
      </c>
      <c r="H17" s="26">
        <f t="shared" si="2"/>
        <v>32.111111111111121</v>
      </c>
    </row>
    <row r="18" spans="2:8" ht="15" customHeight="1" x14ac:dyDescent="0.25">
      <c r="B18" s="76">
        <v>2024</v>
      </c>
      <c r="C18" s="7" t="s">
        <v>0</v>
      </c>
      <c r="D18" s="16">
        <v>25</v>
      </c>
      <c r="E18" s="23">
        <f t="shared" si="3"/>
        <v>29.333333333333332</v>
      </c>
      <c r="F18" s="23">
        <f t="shared" ref="F18:F41" si="4">D18-E18</f>
        <v>-4.3333333333333321</v>
      </c>
      <c r="G18" s="23">
        <f t="shared" ref="G18:G41" si="5">ABS(F18)</f>
        <v>4.3333333333333321</v>
      </c>
      <c r="H18" s="25">
        <f t="shared" ref="H18:H41" si="6">G18^2</f>
        <v>18.777777777777768</v>
      </c>
    </row>
    <row r="19" spans="2:8" s="3" customFormat="1" ht="15" customHeight="1" x14ac:dyDescent="0.2">
      <c r="B19" s="77"/>
      <c r="C19" s="7" t="s">
        <v>1</v>
      </c>
      <c r="D19" s="16">
        <v>25</v>
      </c>
      <c r="E19" s="23">
        <f t="shared" si="3"/>
        <v>27</v>
      </c>
      <c r="F19" s="23">
        <f t="shared" si="4"/>
        <v>-2</v>
      </c>
      <c r="G19" s="23">
        <f t="shared" si="5"/>
        <v>2</v>
      </c>
      <c r="H19" s="25">
        <f t="shared" si="6"/>
        <v>4</v>
      </c>
    </row>
    <row r="20" spans="2:8" ht="15" customHeight="1" x14ac:dyDescent="0.25">
      <c r="B20" s="77"/>
      <c r="C20" s="7" t="s">
        <v>2</v>
      </c>
      <c r="D20" s="16">
        <v>28</v>
      </c>
      <c r="E20" s="23">
        <f t="shared" si="3"/>
        <v>25</v>
      </c>
      <c r="F20" s="23">
        <f t="shared" si="4"/>
        <v>3</v>
      </c>
      <c r="G20" s="23">
        <f t="shared" si="5"/>
        <v>3</v>
      </c>
      <c r="H20" s="25">
        <f t="shared" si="6"/>
        <v>9</v>
      </c>
    </row>
    <row r="21" spans="2:8" x14ac:dyDescent="0.25">
      <c r="B21" s="77"/>
      <c r="C21" s="7" t="s">
        <v>3</v>
      </c>
      <c r="D21" s="16">
        <v>30</v>
      </c>
      <c r="E21" s="23">
        <f t="shared" si="3"/>
        <v>26</v>
      </c>
      <c r="F21" s="23">
        <f t="shared" si="4"/>
        <v>4</v>
      </c>
      <c r="G21" s="23">
        <f t="shared" si="5"/>
        <v>4</v>
      </c>
      <c r="H21" s="25">
        <f t="shared" si="6"/>
        <v>16</v>
      </c>
    </row>
    <row r="22" spans="2:8" x14ac:dyDescent="0.25">
      <c r="B22" s="77"/>
      <c r="C22" s="7" t="s">
        <v>4</v>
      </c>
      <c r="D22" s="16">
        <v>30</v>
      </c>
      <c r="E22" s="23">
        <f t="shared" si="3"/>
        <v>27.666666666666668</v>
      </c>
      <c r="F22" s="23">
        <f t="shared" si="4"/>
        <v>2.3333333333333321</v>
      </c>
      <c r="G22" s="23">
        <f t="shared" si="5"/>
        <v>2.3333333333333321</v>
      </c>
      <c r="H22" s="25">
        <f t="shared" si="6"/>
        <v>5.4444444444444393</v>
      </c>
    </row>
    <row r="23" spans="2:8" x14ac:dyDescent="0.25">
      <c r="B23" s="77"/>
      <c r="C23" s="7" t="s">
        <v>5</v>
      </c>
      <c r="D23" s="16">
        <v>32</v>
      </c>
      <c r="E23" s="23">
        <f t="shared" si="3"/>
        <v>29.333333333333332</v>
      </c>
      <c r="F23" s="23">
        <f t="shared" si="4"/>
        <v>2.6666666666666679</v>
      </c>
      <c r="G23" s="23">
        <f t="shared" si="5"/>
        <v>2.6666666666666679</v>
      </c>
      <c r="H23" s="25">
        <f t="shared" si="6"/>
        <v>7.1111111111111178</v>
      </c>
    </row>
    <row r="24" spans="2:8" x14ac:dyDescent="0.25">
      <c r="B24" s="77"/>
      <c r="C24" s="7" t="s">
        <v>6</v>
      </c>
      <c r="D24" s="16">
        <v>39</v>
      </c>
      <c r="E24" s="23">
        <f t="shared" si="3"/>
        <v>30.666666666666668</v>
      </c>
      <c r="F24" s="23">
        <f t="shared" si="4"/>
        <v>8.3333333333333321</v>
      </c>
      <c r="G24" s="23">
        <f t="shared" si="5"/>
        <v>8.3333333333333321</v>
      </c>
      <c r="H24" s="25">
        <f t="shared" si="6"/>
        <v>69.444444444444429</v>
      </c>
    </row>
    <row r="25" spans="2:8" x14ac:dyDescent="0.25">
      <c r="B25" s="77"/>
      <c r="C25" s="7" t="s">
        <v>7</v>
      </c>
      <c r="D25" s="16">
        <v>38</v>
      </c>
      <c r="E25" s="23">
        <f t="shared" si="3"/>
        <v>33.666666666666664</v>
      </c>
      <c r="F25" s="23">
        <f t="shared" si="4"/>
        <v>4.3333333333333357</v>
      </c>
      <c r="G25" s="23">
        <f t="shared" si="5"/>
        <v>4.3333333333333357</v>
      </c>
      <c r="H25" s="25">
        <f t="shared" si="6"/>
        <v>18.7777777777778</v>
      </c>
    </row>
    <row r="26" spans="2:8" x14ac:dyDescent="0.25">
      <c r="B26" s="77"/>
      <c r="C26" s="7" t="s">
        <v>8</v>
      </c>
      <c r="D26" s="16">
        <v>37</v>
      </c>
      <c r="E26" s="23">
        <f t="shared" si="3"/>
        <v>36.333333333333336</v>
      </c>
      <c r="F26" s="23">
        <f t="shared" si="4"/>
        <v>0.6666666666666643</v>
      </c>
      <c r="G26" s="23">
        <f t="shared" si="5"/>
        <v>0.6666666666666643</v>
      </c>
      <c r="H26" s="25">
        <f t="shared" si="6"/>
        <v>0.44444444444444131</v>
      </c>
    </row>
    <row r="27" spans="2:8" x14ac:dyDescent="0.25">
      <c r="B27" s="77"/>
      <c r="C27" s="7" t="s">
        <v>9</v>
      </c>
      <c r="D27" s="16">
        <v>40</v>
      </c>
      <c r="E27" s="23">
        <f t="shared" si="3"/>
        <v>38</v>
      </c>
      <c r="F27" s="23">
        <f t="shared" si="4"/>
        <v>2</v>
      </c>
      <c r="G27" s="23">
        <f t="shared" si="5"/>
        <v>2</v>
      </c>
      <c r="H27" s="25">
        <f t="shared" si="6"/>
        <v>4</v>
      </c>
    </row>
    <row r="28" spans="2:8" x14ac:dyDescent="0.25">
      <c r="B28" s="77"/>
      <c r="C28" s="7" t="s">
        <v>10</v>
      </c>
      <c r="D28" s="16">
        <v>40</v>
      </c>
      <c r="E28" s="23">
        <f t="shared" si="3"/>
        <v>38.333333333333336</v>
      </c>
      <c r="F28" s="23">
        <f>D28-E28</f>
        <v>1.6666666666666643</v>
      </c>
      <c r="G28" s="23">
        <f t="shared" si="5"/>
        <v>1.6666666666666643</v>
      </c>
      <c r="H28" s="25">
        <f t="shared" si="6"/>
        <v>2.7777777777777697</v>
      </c>
    </row>
    <row r="29" spans="2:8" ht="15.75" thickBot="1" x14ac:dyDescent="0.3">
      <c r="B29" s="78"/>
      <c r="C29" s="5" t="s">
        <v>11</v>
      </c>
      <c r="D29" s="17">
        <v>33</v>
      </c>
      <c r="E29" s="23">
        <f t="shared" si="3"/>
        <v>39</v>
      </c>
      <c r="F29" s="24">
        <f t="shared" si="4"/>
        <v>-6</v>
      </c>
      <c r="G29" s="24">
        <f t="shared" si="5"/>
        <v>6</v>
      </c>
      <c r="H29" s="26">
        <f t="shared" si="6"/>
        <v>36</v>
      </c>
    </row>
    <row r="30" spans="2:8" x14ac:dyDescent="0.25">
      <c r="B30" s="76">
        <v>2025</v>
      </c>
      <c r="C30" s="7" t="s">
        <v>0</v>
      </c>
      <c r="D30" s="16">
        <v>35</v>
      </c>
      <c r="E30" s="23">
        <f t="shared" si="3"/>
        <v>37.666666666666664</v>
      </c>
      <c r="F30" s="23">
        <f t="shared" si="4"/>
        <v>-2.6666666666666643</v>
      </c>
      <c r="G30" s="23">
        <f t="shared" si="5"/>
        <v>2.6666666666666643</v>
      </c>
      <c r="H30" s="25">
        <f t="shared" si="6"/>
        <v>7.1111111111110983</v>
      </c>
    </row>
    <row r="31" spans="2:8" x14ac:dyDescent="0.25">
      <c r="B31" s="77"/>
      <c r="C31" s="7" t="s">
        <v>1</v>
      </c>
      <c r="D31" s="16">
        <v>31</v>
      </c>
      <c r="E31" s="23">
        <f t="shared" si="3"/>
        <v>36</v>
      </c>
      <c r="F31" s="23">
        <f t="shared" si="4"/>
        <v>-5</v>
      </c>
      <c r="G31" s="23">
        <f t="shared" si="5"/>
        <v>5</v>
      </c>
      <c r="H31" s="25">
        <f t="shared" si="6"/>
        <v>25</v>
      </c>
    </row>
    <row r="32" spans="2:8" x14ac:dyDescent="0.25">
      <c r="B32" s="77"/>
      <c r="C32" s="7" t="s">
        <v>2</v>
      </c>
      <c r="D32" s="16">
        <v>33</v>
      </c>
      <c r="E32" s="23">
        <f t="shared" si="3"/>
        <v>33</v>
      </c>
      <c r="F32" s="23">
        <f t="shared" si="4"/>
        <v>0</v>
      </c>
      <c r="G32" s="23">
        <f t="shared" si="5"/>
        <v>0</v>
      </c>
      <c r="H32" s="25">
        <f t="shared" si="6"/>
        <v>0</v>
      </c>
    </row>
    <row r="33" spans="2:8" x14ac:dyDescent="0.25">
      <c r="B33" s="77"/>
      <c r="C33" s="7" t="s">
        <v>3</v>
      </c>
      <c r="D33" s="16">
        <v>40</v>
      </c>
      <c r="E33" s="23">
        <f t="shared" si="3"/>
        <v>33</v>
      </c>
      <c r="F33" s="23">
        <f t="shared" si="4"/>
        <v>7</v>
      </c>
      <c r="G33" s="23">
        <f t="shared" si="5"/>
        <v>7</v>
      </c>
      <c r="H33" s="25">
        <f t="shared" si="6"/>
        <v>49</v>
      </c>
    </row>
    <row r="34" spans="2:8" x14ac:dyDescent="0.25">
      <c r="B34" s="77"/>
      <c r="C34" s="7" t="s">
        <v>4</v>
      </c>
      <c r="D34" s="16">
        <v>38</v>
      </c>
      <c r="E34" s="23">
        <f t="shared" si="3"/>
        <v>34.666666666666664</v>
      </c>
      <c r="F34" s="23">
        <f t="shared" si="4"/>
        <v>3.3333333333333357</v>
      </c>
      <c r="G34" s="23">
        <f t="shared" si="5"/>
        <v>3.3333333333333357</v>
      </c>
      <c r="H34" s="25">
        <f t="shared" si="6"/>
        <v>11.111111111111127</v>
      </c>
    </row>
    <row r="35" spans="2:8" x14ac:dyDescent="0.25">
      <c r="B35" s="77"/>
      <c r="C35" s="7" t="s">
        <v>5</v>
      </c>
      <c r="D35" s="16">
        <v>36</v>
      </c>
      <c r="E35" s="23">
        <f t="shared" si="3"/>
        <v>37</v>
      </c>
      <c r="F35" s="23">
        <f t="shared" si="4"/>
        <v>-1</v>
      </c>
      <c r="G35" s="23">
        <f t="shared" si="5"/>
        <v>1</v>
      </c>
      <c r="H35" s="25">
        <f t="shared" si="6"/>
        <v>1</v>
      </c>
    </row>
    <row r="36" spans="2:8" x14ac:dyDescent="0.25">
      <c r="B36" s="77"/>
      <c r="C36" s="7" t="s">
        <v>6</v>
      </c>
      <c r="D36" s="16">
        <v>35</v>
      </c>
      <c r="E36" s="23">
        <f t="shared" si="3"/>
        <v>38</v>
      </c>
      <c r="F36" s="23">
        <f t="shared" si="4"/>
        <v>-3</v>
      </c>
      <c r="G36" s="23">
        <f t="shared" si="5"/>
        <v>3</v>
      </c>
      <c r="H36" s="25">
        <f t="shared" si="6"/>
        <v>9</v>
      </c>
    </row>
    <row r="37" spans="2:8" x14ac:dyDescent="0.25">
      <c r="B37" s="77"/>
      <c r="C37" s="7" t="s">
        <v>7</v>
      </c>
      <c r="D37" s="16">
        <v>29</v>
      </c>
      <c r="E37" s="23">
        <f t="shared" si="3"/>
        <v>36.333333333333336</v>
      </c>
      <c r="F37" s="23">
        <f t="shared" si="4"/>
        <v>-7.3333333333333357</v>
      </c>
      <c r="G37" s="23">
        <f t="shared" si="5"/>
        <v>7.3333333333333357</v>
      </c>
      <c r="H37" s="25">
        <f t="shared" si="6"/>
        <v>53.777777777777814</v>
      </c>
    </row>
    <row r="38" spans="2:8" x14ac:dyDescent="0.25">
      <c r="B38" s="77"/>
      <c r="C38" s="7" t="s">
        <v>8</v>
      </c>
      <c r="D38" s="16">
        <v>25</v>
      </c>
      <c r="E38" s="23">
        <f t="shared" si="3"/>
        <v>33.333333333333336</v>
      </c>
      <c r="F38" s="23">
        <f t="shared" si="4"/>
        <v>-8.3333333333333357</v>
      </c>
      <c r="G38" s="23">
        <f t="shared" si="5"/>
        <v>8.3333333333333357</v>
      </c>
      <c r="H38" s="25">
        <f t="shared" si="6"/>
        <v>69.444444444444485</v>
      </c>
    </row>
    <row r="39" spans="2:8" x14ac:dyDescent="0.25">
      <c r="B39" s="77"/>
      <c r="C39" s="7" t="s">
        <v>9</v>
      </c>
      <c r="D39" s="16">
        <v>30</v>
      </c>
      <c r="E39" s="23">
        <f t="shared" si="3"/>
        <v>29.666666666666668</v>
      </c>
      <c r="F39" s="23">
        <f t="shared" si="4"/>
        <v>0.33333333333333215</v>
      </c>
      <c r="G39" s="23">
        <f t="shared" si="5"/>
        <v>0.33333333333333215</v>
      </c>
      <c r="H39" s="25">
        <f t="shared" si="6"/>
        <v>0.11111111111111033</v>
      </c>
    </row>
    <row r="40" spans="2:8" x14ac:dyDescent="0.25">
      <c r="B40" s="77"/>
      <c r="C40" s="7" t="s">
        <v>10</v>
      </c>
      <c r="D40" s="16">
        <v>33</v>
      </c>
      <c r="E40" s="23">
        <f t="shared" si="3"/>
        <v>28</v>
      </c>
      <c r="F40" s="23">
        <f t="shared" si="4"/>
        <v>5</v>
      </c>
      <c r="G40" s="23">
        <f t="shared" si="5"/>
        <v>5</v>
      </c>
      <c r="H40" s="25">
        <f t="shared" si="6"/>
        <v>25</v>
      </c>
    </row>
    <row r="41" spans="2:8" ht="15.75" thickBot="1" x14ac:dyDescent="0.3">
      <c r="B41" s="78"/>
      <c r="C41" s="5" t="s">
        <v>11</v>
      </c>
      <c r="D41" s="17">
        <v>40</v>
      </c>
      <c r="E41" s="24">
        <f t="shared" si="3"/>
        <v>29.333333333333332</v>
      </c>
      <c r="F41" s="24">
        <f t="shared" si="4"/>
        <v>10.666666666666668</v>
      </c>
      <c r="G41" s="29">
        <f t="shared" si="5"/>
        <v>10.666666666666668</v>
      </c>
      <c r="H41" s="20">
        <f t="shared" si="6"/>
        <v>113.7777777777778</v>
      </c>
    </row>
    <row r="42" spans="2:8" x14ac:dyDescent="0.25">
      <c r="G42" s="41">
        <f>AVERAGE(G9:G41)</f>
        <v>3.7070707070707072</v>
      </c>
      <c r="H42" s="42">
        <f>AVERAGE(H9:H41)</f>
        <v>20.670033670033671</v>
      </c>
    </row>
    <row r="43" spans="2:8" x14ac:dyDescent="0.25">
      <c r="G43" s="56" t="s">
        <v>70</v>
      </c>
      <c r="H43" s="56" t="s">
        <v>48</v>
      </c>
    </row>
  </sheetData>
  <mergeCells count="7">
    <mergeCell ref="B18:B29"/>
    <mergeCell ref="B30:B41"/>
    <mergeCell ref="E4:H4"/>
    <mergeCell ref="B4:B5"/>
    <mergeCell ref="C4:C5"/>
    <mergeCell ref="D4:D5"/>
    <mergeCell ref="B6:B17"/>
  </mergeCells>
  <conditionalFormatting sqref="F6:F41">
    <cfRule type="cellIs" dxfId="7" priority="1" operator="lessThan">
      <formula>0</formula>
    </cfRule>
  </conditionalFormatting>
  <pageMargins left="0.3" right="0.3" top="0.3" bottom="0.3" header="0" footer="0"/>
  <pageSetup scale="85" fitToHeight="0" orientation="landscape" r:id="rId1"/>
  <ignoredErrors>
    <ignoredError sqref="E9:E29 E30:E41"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pageSetUpPr fitToPage="1"/>
  </sheetPr>
  <dimension ref="A1:IL43"/>
  <sheetViews>
    <sheetView showGridLines="0" zoomScale="115" zoomScaleNormal="115" workbookViewId="0">
      <pane ySplit="5" topLeftCell="A6" activePane="bottomLeft" state="frozen"/>
      <selection pane="bottomLeft" activeCell="E12" sqref="E12"/>
    </sheetView>
  </sheetViews>
  <sheetFormatPr defaultColWidth="8" defaultRowHeight="15" x14ac:dyDescent="0.25"/>
  <cols>
    <col min="1" max="1" width="3" style="2" customWidth="1"/>
    <col min="2" max="3" width="12.875" style="2" customWidth="1"/>
    <col min="4" max="8" width="13" style="2" customWidth="1"/>
    <col min="9" max="9" width="3" style="2" customWidth="1"/>
    <col min="10" max="10" width="8" style="2"/>
    <col min="11" max="11" width="19.125" style="2" customWidth="1"/>
    <col min="12" max="12" width="5.625" style="2" customWidth="1"/>
    <col min="13" max="13" width="5" style="2" customWidth="1"/>
    <col min="14"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3" t="s">
        <v>36</v>
      </c>
      <c r="C2" s="15"/>
      <c r="D2" s="14"/>
      <c r="E2" s="12"/>
      <c r="F2" s="12"/>
      <c r="G2" s="12"/>
      <c r="H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74" t="s">
        <v>34</v>
      </c>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88" t="s">
        <v>12</v>
      </c>
      <c r="C4" s="88" t="s">
        <v>13</v>
      </c>
      <c r="D4" s="83" t="s">
        <v>16</v>
      </c>
      <c r="E4" s="85" t="s">
        <v>23</v>
      </c>
      <c r="F4" s="86"/>
      <c r="G4" s="86"/>
      <c r="H4" s="87"/>
    </row>
    <row r="5" spans="1:246" ht="24.95" customHeight="1" x14ac:dyDescent="0.25">
      <c r="B5" s="89"/>
      <c r="C5" s="89"/>
      <c r="D5" s="84"/>
      <c r="E5" s="9" t="s">
        <v>14</v>
      </c>
      <c r="F5" s="9" t="s">
        <v>15</v>
      </c>
      <c r="G5" s="18" t="s">
        <v>17</v>
      </c>
      <c r="H5" s="8" t="s">
        <v>19</v>
      </c>
    </row>
    <row r="6" spans="1:246" ht="15" customHeight="1" x14ac:dyDescent="0.25">
      <c r="B6" s="76">
        <v>2023</v>
      </c>
      <c r="C6" s="7" t="s">
        <v>0</v>
      </c>
      <c r="D6" s="16">
        <v>19</v>
      </c>
      <c r="E6" s="75">
        <v>25</v>
      </c>
      <c r="F6" s="23">
        <f t="shared" ref="F6:F9" si="0">D6-E6</f>
        <v>-6</v>
      </c>
      <c r="G6" s="23">
        <f t="shared" ref="G6:G9" si="1">ABS(F6)</f>
        <v>6</v>
      </c>
      <c r="H6" s="25">
        <f t="shared" ref="H6:H9" si="2">G6^2</f>
        <v>36</v>
      </c>
    </row>
    <row r="7" spans="1:246" ht="15" customHeight="1" x14ac:dyDescent="0.3">
      <c r="B7" s="77"/>
      <c r="C7" s="7" t="s">
        <v>1</v>
      </c>
      <c r="D7" s="16">
        <v>24</v>
      </c>
      <c r="E7" s="23">
        <f>E6+$M$8*(D6-E6)</f>
        <v>22</v>
      </c>
      <c r="F7" s="23">
        <f t="shared" si="0"/>
        <v>2</v>
      </c>
      <c r="G7" s="23">
        <f t="shared" si="1"/>
        <v>2</v>
      </c>
      <c r="H7" s="25">
        <f t="shared" si="2"/>
        <v>4</v>
      </c>
      <c r="J7" s="57"/>
      <c r="K7" s="48" t="s">
        <v>24</v>
      </c>
      <c r="L7" s="40"/>
      <c r="M7" s="40">
        <v>25</v>
      </c>
    </row>
    <row r="8" spans="1:246" ht="15" customHeight="1" x14ac:dyDescent="0.3">
      <c r="B8" s="77"/>
      <c r="C8" s="7" t="s">
        <v>2</v>
      </c>
      <c r="D8" s="16">
        <v>30</v>
      </c>
      <c r="E8" s="23">
        <f t="shared" ref="E8:E41" si="3">E7+$M$8*(D7-E7)</f>
        <v>23</v>
      </c>
      <c r="F8" s="23">
        <f t="shared" si="0"/>
        <v>7</v>
      </c>
      <c r="G8" s="23">
        <f t="shared" si="1"/>
        <v>7</v>
      </c>
      <c r="H8" s="25">
        <f t="shared" si="2"/>
        <v>49</v>
      </c>
      <c r="J8" s="57"/>
      <c r="K8" s="48" t="s">
        <v>57</v>
      </c>
      <c r="L8" s="50" t="s">
        <v>35</v>
      </c>
      <c r="M8" s="40">
        <v>0.5</v>
      </c>
    </row>
    <row r="9" spans="1:246" ht="15" customHeight="1" x14ac:dyDescent="0.25">
      <c r="B9" s="77"/>
      <c r="C9" s="7" t="s">
        <v>3</v>
      </c>
      <c r="D9" s="16">
        <v>32</v>
      </c>
      <c r="E9" s="23">
        <f t="shared" si="3"/>
        <v>26.5</v>
      </c>
      <c r="F9" s="23">
        <f t="shared" si="0"/>
        <v>5.5</v>
      </c>
      <c r="G9" s="23">
        <f t="shared" si="1"/>
        <v>5.5</v>
      </c>
      <c r="H9" s="25">
        <f t="shared" si="2"/>
        <v>30.25</v>
      </c>
      <c r="J9" s="57"/>
    </row>
    <row r="10" spans="1:246" ht="15" customHeight="1" x14ac:dyDescent="0.25">
      <c r="B10" s="77"/>
      <c r="C10" s="7" t="s">
        <v>4</v>
      </c>
      <c r="D10" s="16">
        <v>29</v>
      </c>
      <c r="E10" s="23">
        <f t="shared" si="3"/>
        <v>29.25</v>
      </c>
      <c r="F10" s="23">
        <f t="shared" ref="F10:F41" si="4">D10-E10</f>
        <v>-0.25</v>
      </c>
      <c r="G10" s="23">
        <f t="shared" ref="G10:G41" si="5">ABS(F10)</f>
        <v>0.25</v>
      </c>
      <c r="H10" s="25">
        <f t="shared" ref="H10:H41" si="6">G10^2</f>
        <v>6.25E-2</v>
      </c>
      <c r="J10" s="57"/>
    </row>
    <row r="11" spans="1:246" ht="15" customHeight="1" x14ac:dyDescent="0.25">
      <c r="B11" s="77"/>
      <c r="C11" s="7" t="s">
        <v>5</v>
      </c>
      <c r="D11" s="16">
        <v>33</v>
      </c>
      <c r="E11" s="23">
        <f t="shared" si="3"/>
        <v>29.125</v>
      </c>
      <c r="F11" s="23">
        <f t="shared" si="4"/>
        <v>3.875</v>
      </c>
      <c r="G11" s="23">
        <f t="shared" si="5"/>
        <v>3.875</v>
      </c>
      <c r="H11" s="25">
        <f t="shared" si="6"/>
        <v>15.015625</v>
      </c>
      <c r="J11" s="57"/>
    </row>
    <row r="12" spans="1:246" ht="15" customHeight="1" x14ac:dyDescent="0.25">
      <c r="B12" s="77"/>
      <c r="C12" s="7" t="s">
        <v>6</v>
      </c>
      <c r="D12" s="16">
        <v>34</v>
      </c>
      <c r="E12" s="23">
        <f t="shared" si="3"/>
        <v>31.0625</v>
      </c>
      <c r="F12" s="23">
        <f t="shared" si="4"/>
        <v>2.9375</v>
      </c>
      <c r="G12" s="23">
        <f t="shared" si="5"/>
        <v>2.9375</v>
      </c>
      <c r="H12" s="25">
        <f t="shared" si="6"/>
        <v>8.62890625</v>
      </c>
      <c r="J12" s="57"/>
    </row>
    <row r="13" spans="1:246" ht="15" customHeight="1" x14ac:dyDescent="0.25">
      <c r="B13" s="77"/>
      <c r="C13" s="7" t="s">
        <v>7</v>
      </c>
      <c r="D13" s="16">
        <v>29</v>
      </c>
      <c r="E13" s="23">
        <f t="shared" si="3"/>
        <v>32.53125</v>
      </c>
      <c r="F13" s="23">
        <f t="shared" si="4"/>
        <v>-3.53125</v>
      </c>
      <c r="G13" s="23">
        <f t="shared" si="5"/>
        <v>3.53125</v>
      </c>
      <c r="H13" s="25">
        <f t="shared" si="6"/>
        <v>12.4697265625</v>
      </c>
      <c r="J13" s="57"/>
    </row>
    <row r="14" spans="1:246" ht="15" customHeight="1" x14ac:dyDescent="0.25">
      <c r="B14" s="77"/>
      <c r="C14" s="7" t="s">
        <v>8</v>
      </c>
      <c r="D14" s="16">
        <v>29</v>
      </c>
      <c r="E14" s="23">
        <f t="shared" si="3"/>
        <v>30.765625</v>
      </c>
      <c r="F14" s="23">
        <f t="shared" si="4"/>
        <v>-1.765625</v>
      </c>
      <c r="G14" s="23">
        <f t="shared" si="5"/>
        <v>1.765625</v>
      </c>
      <c r="H14" s="25">
        <f t="shared" si="6"/>
        <v>3.117431640625</v>
      </c>
      <c r="J14" s="57"/>
    </row>
    <row r="15" spans="1:246" ht="15" customHeight="1" x14ac:dyDescent="0.25">
      <c r="B15" s="77"/>
      <c r="C15" s="7" t="s">
        <v>9</v>
      </c>
      <c r="D15" s="16">
        <v>32</v>
      </c>
      <c r="E15" s="23">
        <f t="shared" si="3"/>
        <v>29.8828125</v>
      </c>
      <c r="F15" s="23">
        <f t="shared" si="4"/>
        <v>2.1171875</v>
      </c>
      <c r="G15" s="23">
        <f t="shared" si="5"/>
        <v>2.1171875</v>
      </c>
      <c r="H15" s="25">
        <f t="shared" si="6"/>
        <v>4.48248291015625</v>
      </c>
      <c r="J15" s="57"/>
    </row>
    <row r="16" spans="1:246" ht="15" customHeight="1" x14ac:dyDescent="0.25">
      <c r="B16" s="77"/>
      <c r="C16" s="7" t="s">
        <v>10</v>
      </c>
      <c r="D16" s="16">
        <v>31</v>
      </c>
      <c r="E16" s="23">
        <f t="shared" si="3"/>
        <v>30.94140625</v>
      </c>
      <c r="F16" s="23">
        <f t="shared" si="4"/>
        <v>5.859375E-2</v>
      </c>
      <c r="G16" s="23">
        <f t="shared" si="5"/>
        <v>5.859375E-2</v>
      </c>
      <c r="H16" s="25">
        <f t="shared" si="6"/>
        <v>3.4332275390625E-3</v>
      </c>
      <c r="J16" s="57"/>
    </row>
    <row r="17" spans="2:10" ht="15" customHeight="1" thickBot="1" x14ac:dyDescent="0.3">
      <c r="B17" s="78"/>
      <c r="C17" s="5" t="s">
        <v>11</v>
      </c>
      <c r="D17" s="17">
        <v>25</v>
      </c>
      <c r="E17" s="23">
        <f t="shared" si="3"/>
        <v>30.970703125</v>
      </c>
      <c r="F17" s="24">
        <f t="shared" si="4"/>
        <v>-5.970703125</v>
      </c>
      <c r="G17" s="24">
        <f t="shared" si="5"/>
        <v>5.970703125</v>
      </c>
      <c r="H17" s="26">
        <f t="shared" si="6"/>
        <v>35.649295806884766</v>
      </c>
      <c r="J17" s="57"/>
    </row>
    <row r="18" spans="2:10" ht="15" customHeight="1" x14ac:dyDescent="0.25">
      <c r="B18" s="76">
        <v>2024</v>
      </c>
      <c r="C18" s="7" t="s">
        <v>0</v>
      </c>
      <c r="D18" s="16">
        <v>25</v>
      </c>
      <c r="E18" s="23">
        <f t="shared" si="3"/>
        <v>27.9853515625</v>
      </c>
      <c r="F18" s="23">
        <f t="shared" si="4"/>
        <v>-2.9853515625</v>
      </c>
      <c r="G18" s="23">
        <f t="shared" si="5"/>
        <v>2.9853515625</v>
      </c>
      <c r="H18" s="25">
        <f t="shared" si="6"/>
        <v>8.9123239517211914</v>
      </c>
      <c r="J18" s="57"/>
    </row>
    <row r="19" spans="2:10" s="3" customFormat="1" ht="15" customHeight="1" x14ac:dyDescent="0.25">
      <c r="B19" s="77"/>
      <c r="C19" s="7" t="s">
        <v>1</v>
      </c>
      <c r="D19" s="16">
        <v>25</v>
      </c>
      <c r="E19" s="23">
        <f t="shared" si="3"/>
        <v>26.49267578125</v>
      </c>
      <c r="F19" s="23">
        <f t="shared" si="4"/>
        <v>-1.49267578125</v>
      </c>
      <c r="G19" s="23">
        <f t="shared" si="5"/>
        <v>1.49267578125</v>
      </c>
      <c r="H19" s="25">
        <f t="shared" si="6"/>
        <v>2.2280809879302979</v>
      </c>
      <c r="J19" s="57"/>
    </row>
    <row r="20" spans="2:10" ht="15" customHeight="1" x14ac:dyDescent="0.25">
      <c r="B20" s="77"/>
      <c r="C20" s="7" t="s">
        <v>2</v>
      </c>
      <c r="D20" s="16">
        <v>28</v>
      </c>
      <c r="E20" s="23">
        <f t="shared" si="3"/>
        <v>25.746337890625</v>
      </c>
      <c r="F20" s="23">
        <f t="shared" si="4"/>
        <v>2.253662109375</v>
      </c>
      <c r="G20" s="23">
        <f t="shared" si="5"/>
        <v>2.253662109375</v>
      </c>
      <c r="H20" s="25">
        <f t="shared" si="6"/>
        <v>5.0789929032325745</v>
      </c>
      <c r="J20" s="57"/>
    </row>
    <row r="21" spans="2:10" x14ac:dyDescent="0.25">
      <c r="B21" s="77"/>
      <c r="C21" s="7" t="s">
        <v>3</v>
      </c>
      <c r="D21" s="16">
        <v>30</v>
      </c>
      <c r="E21" s="23">
        <f t="shared" si="3"/>
        <v>26.8731689453125</v>
      </c>
      <c r="F21" s="23">
        <f t="shared" si="4"/>
        <v>3.1268310546875</v>
      </c>
      <c r="G21" s="23">
        <f t="shared" si="5"/>
        <v>3.1268310546875</v>
      </c>
      <c r="H21" s="25">
        <f t="shared" si="6"/>
        <v>9.7770724445581436</v>
      </c>
      <c r="J21" s="57"/>
    </row>
    <row r="22" spans="2:10" x14ac:dyDescent="0.25">
      <c r="B22" s="77"/>
      <c r="C22" s="7" t="s">
        <v>4</v>
      </c>
      <c r="D22" s="16">
        <v>30</v>
      </c>
      <c r="E22" s="23">
        <f t="shared" si="3"/>
        <v>28.43658447265625</v>
      </c>
      <c r="F22" s="23">
        <f t="shared" si="4"/>
        <v>1.56341552734375</v>
      </c>
      <c r="G22" s="23">
        <f t="shared" si="5"/>
        <v>1.56341552734375</v>
      </c>
      <c r="H22" s="25">
        <f t="shared" si="6"/>
        <v>2.4442681111395359</v>
      </c>
      <c r="J22" s="57"/>
    </row>
    <row r="23" spans="2:10" x14ac:dyDescent="0.25">
      <c r="B23" s="77"/>
      <c r="C23" s="7" t="s">
        <v>5</v>
      </c>
      <c r="D23" s="16">
        <v>32</v>
      </c>
      <c r="E23" s="23">
        <f t="shared" si="3"/>
        <v>29.218292236328125</v>
      </c>
      <c r="F23" s="23">
        <f t="shared" si="4"/>
        <v>2.781707763671875</v>
      </c>
      <c r="G23" s="23">
        <f t="shared" si="5"/>
        <v>2.781707763671875</v>
      </c>
      <c r="H23" s="25">
        <f t="shared" si="6"/>
        <v>7.737898082472384</v>
      </c>
      <c r="J23" s="57"/>
    </row>
    <row r="24" spans="2:10" x14ac:dyDescent="0.25">
      <c r="B24" s="77"/>
      <c r="C24" s="7" t="s">
        <v>6</v>
      </c>
      <c r="D24" s="16">
        <v>39</v>
      </c>
      <c r="E24" s="23">
        <f t="shared" si="3"/>
        <v>30.609146118164063</v>
      </c>
      <c r="F24" s="23">
        <f t="shared" si="4"/>
        <v>8.3908538818359375</v>
      </c>
      <c r="G24" s="23">
        <f t="shared" si="5"/>
        <v>8.3908538818359375</v>
      </c>
      <c r="H24" s="25">
        <f t="shared" si="6"/>
        <v>70.406428866321221</v>
      </c>
      <c r="J24" s="57"/>
    </row>
    <row r="25" spans="2:10" x14ac:dyDescent="0.25">
      <c r="B25" s="77"/>
      <c r="C25" s="7" t="s">
        <v>7</v>
      </c>
      <c r="D25" s="16">
        <v>38</v>
      </c>
      <c r="E25" s="23">
        <f t="shared" si="3"/>
        <v>34.804573059082031</v>
      </c>
      <c r="F25" s="23">
        <f t="shared" si="4"/>
        <v>3.1954269409179688</v>
      </c>
      <c r="G25" s="23">
        <f t="shared" si="5"/>
        <v>3.1954269409179688</v>
      </c>
      <c r="H25" s="25">
        <f t="shared" si="6"/>
        <v>10.210753334744368</v>
      </c>
      <c r="J25" s="57"/>
    </row>
    <row r="26" spans="2:10" x14ac:dyDescent="0.25">
      <c r="B26" s="77"/>
      <c r="C26" s="7" t="s">
        <v>8</v>
      </c>
      <c r="D26" s="16">
        <v>37</v>
      </c>
      <c r="E26" s="23">
        <f t="shared" si="3"/>
        <v>36.402286529541016</v>
      </c>
      <c r="F26" s="23">
        <f t="shared" si="4"/>
        <v>0.59771347045898438</v>
      </c>
      <c r="G26" s="23">
        <f t="shared" si="5"/>
        <v>0.59771347045898438</v>
      </c>
      <c r="H26" s="25">
        <f t="shared" si="6"/>
        <v>0.35726139276812319</v>
      </c>
      <c r="J26" s="57"/>
    </row>
    <row r="27" spans="2:10" x14ac:dyDescent="0.25">
      <c r="B27" s="77"/>
      <c r="C27" s="7" t="s">
        <v>9</v>
      </c>
      <c r="D27" s="16">
        <v>40</v>
      </c>
      <c r="E27" s="23">
        <f t="shared" si="3"/>
        <v>36.701143264770508</v>
      </c>
      <c r="F27" s="23">
        <f t="shared" si="4"/>
        <v>3.2988567352294922</v>
      </c>
      <c r="G27" s="23">
        <f t="shared" si="5"/>
        <v>3.2988567352294922</v>
      </c>
      <c r="H27" s="25">
        <f t="shared" si="6"/>
        <v>10.882455759568984</v>
      </c>
      <c r="J27" s="57"/>
    </row>
    <row r="28" spans="2:10" x14ac:dyDescent="0.25">
      <c r="B28" s="77"/>
      <c r="C28" s="7" t="s">
        <v>10</v>
      </c>
      <c r="D28" s="16">
        <v>40</v>
      </c>
      <c r="E28" s="23">
        <f t="shared" si="3"/>
        <v>38.350571632385254</v>
      </c>
      <c r="F28" s="23">
        <f>D28-E28</f>
        <v>1.6494283676147461</v>
      </c>
      <c r="G28" s="23">
        <f t="shared" si="5"/>
        <v>1.6494283676147461</v>
      </c>
      <c r="H28" s="25">
        <f t="shared" si="6"/>
        <v>2.720613939892246</v>
      </c>
      <c r="J28" s="57"/>
    </row>
    <row r="29" spans="2:10" ht="15.75" thickBot="1" x14ac:dyDescent="0.3">
      <c r="B29" s="78"/>
      <c r="C29" s="5" t="s">
        <v>11</v>
      </c>
      <c r="D29" s="17">
        <v>33</v>
      </c>
      <c r="E29" s="23">
        <f t="shared" si="3"/>
        <v>39.175285816192627</v>
      </c>
      <c r="F29" s="24">
        <f t="shared" si="4"/>
        <v>-6.175285816192627</v>
      </c>
      <c r="G29" s="24">
        <f t="shared" si="5"/>
        <v>6.175285816192627</v>
      </c>
      <c r="H29" s="26">
        <f t="shared" si="6"/>
        <v>38.134154911669839</v>
      </c>
      <c r="J29" s="57"/>
    </row>
    <row r="30" spans="2:10" x14ac:dyDescent="0.25">
      <c r="B30" s="76">
        <v>2025</v>
      </c>
      <c r="C30" s="7" t="s">
        <v>0</v>
      </c>
      <c r="D30" s="16">
        <v>35</v>
      </c>
      <c r="E30" s="23">
        <f t="shared" si="3"/>
        <v>36.087642908096313</v>
      </c>
      <c r="F30" s="23">
        <f t="shared" si="4"/>
        <v>-1.0876429080963135</v>
      </c>
      <c r="G30" s="23">
        <f t="shared" si="5"/>
        <v>1.0876429080963135</v>
      </c>
      <c r="H30" s="25">
        <f t="shared" si="6"/>
        <v>1.1829670955322058</v>
      </c>
      <c r="J30" s="57"/>
    </row>
    <row r="31" spans="2:10" x14ac:dyDescent="0.25">
      <c r="B31" s="77"/>
      <c r="C31" s="7" t="s">
        <v>1</v>
      </c>
      <c r="D31" s="16">
        <v>31</v>
      </c>
      <c r="E31" s="23">
        <f t="shared" si="3"/>
        <v>35.543821454048157</v>
      </c>
      <c r="F31" s="23">
        <f t="shared" si="4"/>
        <v>-4.5438214540481567</v>
      </c>
      <c r="G31" s="23">
        <f t="shared" si="5"/>
        <v>4.5438214540481567</v>
      </c>
      <c r="H31" s="25">
        <f t="shared" si="6"/>
        <v>20.646313406268305</v>
      </c>
      <c r="J31" s="57"/>
    </row>
    <row r="32" spans="2:10" x14ac:dyDescent="0.25">
      <c r="B32" s="77"/>
      <c r="C32" s="7" t="s">
        <v>2</v>
      </c>
      <c r="D32" s="16">
        <v>33</v>
      </c>
      <c r="E32" s="23">
        <f t="shared" si="3"/>
        <v>33.271910727024078</v>
      </c>
      <c r="F32" s="23">
        <f t="shared" si="4"/>
        <v>-0.27191072702407837</v>
      </c>
      <c r="G32" s="23">
        <f t="shared" si="5"/>
        <v>0.27191072702407837</v>
      </c>
      <c r="H32" s="25">
        <f t="shared" si="6"/>
        <v>7.3935443470762863E-2</v>
      </c>
      <c r="J32" s="57"/>
    </row>
    <row r="33" spans="2:10" x14ac:dyDescent="0.25">
      <c r="B33" s="77"/>
      <c r="C33" s="7" t="s">
        <v>3</v>
      </c>
      <c r="D33" s="16">
        <v>40</v>
      </c>
      <c r="E33" s="23">
        <f t="shared" si="3"/>
        <v>33.135955363512039</v>
      </c>
      <c r="F33" s="23">
        <f t="shared" si="4"/>
        <v>6.8640446364879608</v>
      </c>
      <c r="G33" s="23">
        <f t="shared" si="5"/>
        <v>6.8640446364879608</v>
      </c>
      <c r="H33" s="25">
        <f t="shared" si="6"/>
        <v>47.115108771699141</v>
      </c>
      <c r="J33" s="57"/>
    </row>
    <row r="34" spans="2:10" x14ac:dyDescent="0.25">
      <c r="B34" s="77"/>
      <c r="C34" s="7" t="s">
        <v>4</v>
      </c>
      <c r="D34" s="16">
        <v>38</v>
      </c>
      <c r="E34" s="23">
        <f t="shared" si="3"/>
        <v>36.56797768175602</v>
      </c>
      <c r="F34" s="23">
        <f t="shared" si="4"/>
        <v>1.4320223182439804</v>
      </c>
      <c r="G34" s="23">
        <f t="shared" si="5"/>
        <v>1.4320223182439804</v>
      </c>
      <c r="H34" s="25">
        <f t="shared" si="6"/>
        <v>2.0506879199488637</v>
      </c>
      <c r="J34" s="57"/>
    </row>
    <row r="35" spans="2:10" x14ac:dyDescent="0.25">
      <c r="B35" s="77"/>
      <c r="C35" s="7" t="s">
        <v>5</v>
      </c>
      <c r="D35" s="16">
        <v>36</v>
      </c>
      <c r="E35" s="23">
        <f t="shared" si="3"/>
        <v>37.28398884087801</v>
      </c>
      <c r="F35" s="23">
        <f t="shared" si="4"/>
        <v>-1.2839888408780098</v>
      </c>
      <c r="G35" s="23">
        <f t="shared" si="5"/>
        <v>1.2839888408780098</v>
      </c>
      <c r="H35" s="25">
        <f t="shared" si="6"/>
        <v>1.6486273434992551</v>
      </c>
      <c r="J35" s="57"/>
    </row>
    <row r="36" spans="2:10" x14ac:dyDescent="0.25">
      <c r="B36" s="77"/>
      <c r="C36" s="7" t="s">
        <v>6</v>
      </c>
      <c r="D36" s="16">
        <v>35</v>
      </c>
      <c r="E36" s="23">
        <f t="shared" si="3"/>
        <v>36.641994420439005</v>
      </c>
      <c r="F36" s="23">
        <f t="shared" si="4"/>
        <v>-1.6419944204390049</v>
      </c>
      <c r="G36" s="23">
        <f t="shared" si="5"/>
        <v>1.6419944204390049</v>
      </c>
      <c r="H36" s="25">
        <f t="shared" si="6"/>
        <v>2.6961456767528236</v>
      </c>
      <c r="J36" s="57"/>
    </row>
    <row r="37" spans="2:10" x14ac:dyDescent="0.25">
      <c r="B37" s="77"/>
      <c r="C37" s="7" t="s">
        <v>7</v>
      </c>
      <c r="D37" s="16">
        <v>29</v>
      </c>
      <c r="E37" s="23">
        <f t="shared" si="3"/>
        <v>35.820997210219502</v>
      </c>
      <c r="F37" s="23">
        <f t="shared" si="4"/>
        <v>-6.8209972102195024</v>
      </c>
      <c r="G37" s="23">
        <f t="shared" si="5"/>
        <v>6.8209972102195024</v>
      </c>
      <c r="H37" s="25">
        <f t="shared" si="6"/>
        <v>46.526002941822235</v>
      </c>
      <c r="J37" s="57"/>
    </row>
    <row r="38" spans="2:10" x14ac:dyDescent="0.25">
      <c r="B38" s="77"/>
      <c r="C38" s="7" t="s">
        <v>8</v>
      </c>
      <c r="D38" s="16">
        <v>25</v>
      </c>
      <c r="E38" s="23">
        <f t="shared" si="3"/>
        <v>32.410498605109751</v>
      </c>
      <c r="F38" s="23">
        <f t="shared" si="4"/>
        <v>-7.4104986051097512</v>
      </c>
      <c r="G38" s="23">
        <f t="shared" si="5"/>
        <v>7.4104986051097512</v>
      </c>
      <c r="H38" s="25">
        <f t="shared" si="6"/>
        <v>54.91548957633357</v>
      </c>
      <c r="J38" s="57"/>
    </row>
    <row r="39" spans="2:10" x14ac:dyDescent="0.25">
      <c r="B39" s="77"/>
      <c r="C39" s="7" t="s">
        <v>9</v>
      </c>
      <c r="D39" s="16">
        <v>30</v>
      </c>
      <c r="E39" s="23">
        <f t="shared" si="3"/>
        <v>28.705249302554876</v>
      </c>
      <c r="F39" s="23">
        <f t="shared" si="4"/>
        <v>1.2947506974451244</v>
      </c>
      <c r="G39" s="23">
        <f t="shared" si="5"/>
        <v>1.2947506974451244</v>
      </c>
      <c r="H39" s="25">
        <f t="shared" si="6"/>
        <v>1.676379368534636</v>
      </c>
      <c r="J39" s="57"/>
    </row>
    <row r="40" spans="2:10" x14ac:dyDescent="0.25">
      <c r="B40" s="77"/>
      <c r="C40" s="7" t="s">
        <v>10</v>
      </c>
      <c r="D40" s="16">
        <v>33</v>
      </c>
      <c r="E40" s="23">
        <f t="shared" si="3"/>
        <v>29.352624651277438</v>
      </c>
      <c r="F40" s="23">
        <f t="shared" si="4"/>
        <v>3.6473753487225622</v>
      </c>
      <c r="G40" s="23">
        <f t="shared" si="5"/>
        <v>3.6473753487225622</v>
      </c>
      <c r="H40" s="25">
        <f t="shared" si="6"/>
        <v>13.303346934469031</v>
      </c>
      <c r="J40" s="57"/>
    </row>
    <row r="41" spans="2:10" ht="15.75" thickBot="1" x14ac:dyDescent="0.3">
      <c r="B41" s="78"/>
      <c r="C41" s="5" t="s">
        <v>11</v>
      </c>
      <c r="D41" s="17">
        <v>40</v>
      </c>
      <c r="E41" s="23">
        <f t="shared" si="3"/>
        <v>31.176312325638719</v>
      </c>
      <c r="F41" s="24">
        <f t="shared" si="4"/>
        <v>8.8236876743612811</v>
      </c>
      <c r="G41" s="24">
        <f t="shared" si="5"/>
        <v>8.8236876743612811</v>
      </c>
      <c r="H41" s="26">
        <f t="shared" si="6"/>
        <v>77.857464174675187</v>
      </c>
      <c r="J41" s="57"/>
    </row>
    <row r="42" spans="2:10" x14ac:dyDescent="0.25">
      <c r="G42" s="41">
        <f>AVERAGE(G6:G41)</f>
        <v>3.4344389785320448</v>
      </c>
      <c r="H42" s="42">
        <f>AVERAGE(H6:H41)</f>
        <v>17.701727076020276</v>
      </c>
    </row>
    <row r="43" spans="2:10" x14ac:dyDescent="0.25">
      <c r="G43" s="56" t="s">
        <v>70</v>
      </c>
      <c r="H43" s="56" t="s">
        <v>48</v>
      </c>
    </row>
  </sheetData>
  <mergeCells count="7">
    <mergeCell ref="B30:B41"/>
    <mergeCell ref="B4:B5"/>
    <mergeCell ref="C4:C5"/>
    <mergeCell ref="D4:D5"/>
    <mergeCell ref="E4:H4"/>
    <mergeCell ref="B6:B17"/>
    <mergeCell ref="B18:B29"/>
  </mergeCells>
  <conditionalFormatting sqref="F6:F41">
    <cfRule type="cellIs" dxfId="6" priority="2" operator="lessThan">
      <formula>0</formula>
    </cfRule>
  </conditionalFormatting>
  <pageMargins left="0.3" right="0.3" top="0.3" bottom="0.3" header="0" footer="0"/>
  <pageSetup scale="85"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pageSetUpPr fitToPage="1"/>
  </sheetPr>
  <dimension ref="A1:IL43"/>
  <sheetViews>
    <sheetView showGridLines="0" topLeftCell="B1" zoomScale="102" zoomScaleNormal="100" workbookViewId="0">
      <pane ySplit="5" topLeftCell="A6" activePane="bottomLeft" state="frozen"/>
      <selection pane="bottomLeft" activeCell="D41" sqref="D41"/>
    </sheetView>
  </sheetViews>
  <sheetFormatPr defaultColWidth="8" defaultRowHeight="15" x14ac:dyDescent="0.25"/>
  <cols>
    <col min="1" max="1" width="3" style="55" customWidth="1"/>
    <col min="2" max="3" width="12.875" style="2" customWidth="1"/>
    <col min="4" max="8" width="13" style="2" customWidth="1"/>
    <col min="9" max="9" width="3" style="2" customWidth="1"/>
    <col min="10" max="10" width="8" style="2"/>
    <col min="11" max="11" width="15" style="2" bestFit="1" customWidth="1"/>
    <col min="12" max="12" width="5.625" style="2" customWidth="1"/>
    <col min="13" max="13" width="6.125" style="2" customWidth="1"/>
    <col min="14"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3" t="s">
        <v>49</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88" t="s">
        <v>12</v>
      </c>
      <c r="C4" s="88" t="s">
        <v>13</v>
      </c>
      <c r="D4" s="83" t="s">
        <v>16</v>
      </c>
      <c r="E4" s="85" t="s">
        <v>25</v>
      </c>
      <c r="F4" s="86"/>
      <c r="G4" s="86"/>
      <c r="H4" s="87"/>
    </row>
    <row r="5" spans="1:246" ht="24.95" customHeight="1" x14ac:dyDescent="0.25">
      <c r="B5" s="89"/>
      <c r="C5" s="89"/>
      <c r="D5" s="84"/>
      <c r="E5" s="9" t="s">
        <v>14</v>
      </c>
      <c r="F5" s="9" t="s">
        <v>15</v>
      </c>
      <c r="G5" s="18" t="s">
        <v>17</v>
      </c>
      <c r="H5" s="8" t="s">
        <v>19</v>
      </c>
    </row>
    <row r="6" spans="1:246" ht="15" customHeight="1" x14ac:dyDescent="0.25">
      <c r="A6" s="55">
        <v>1</v>
      </c>
      <c r="B6" s="76">
        <v>2023</v>
      </c>
      <c r="C6" s="30" t="s">
        <v>0</v>
      </c>
      <c r="D6" s="16">
        <v>19</v>
      </c>
      <c r="E6" s="23">
        <f>(M$8*A6)+M$7</f>
        <v>27.765765765765767</v>
      </c>
      <c r="F6" s="23">
        <f t="shared" ref="F6:F41" si="0">D6-E6</f>
        <v>-8.7657657657657673</v>
      </c>
      <c r="G6" s="23">
        <f t="shared" ref="G6:G41" si="1">ABS(F6)</f>
        <v>8.7657657657657673</v>
      </c>
      <c r="H6" s="25">
        <f t="shared" ref="H6:H41" si="2">G6^2</f>
        <v>76.838649460271114</v>
      </c>
    </row>
    <row r="7" spans="1:246" ht="15" customHeight="1" x14ac:dyDescent="0.3">
      <c r="A7" s="55">
        <v>2</v>
      </c>
      <c r="B7" s="77"/>
      <c r="C7" s="30" t="s">
        <v>1</v>
      </c>
      <c r="D7" s="16">
        <v>24</v>
      </c>
      <c r="E7" s="23">
        <f t="shared" ref="E7:E41" si="3">(M$8*A7)+M$7</f>
        <v>28.002960102960103</v>
      </c>
      <c r="F7" s="23">
        <f t="shared" si="0"/>
        <v>-4.0029601029601025</v>
      </c>
      <c r="G7" s="23">
        <f t="shared" si="1"/>
        <v>4.0029601029601025</v>
      </c>
      <c r="H7" s="25">
        <f t="shared" si="2"/>
        <v>16.023689585890356</v>
      </c>
      <c r="J7" s="38"/>
      <c r="K7" s="48" t="s">
        <v>26</v>
      </c>
      <c r="L7" s="49" t="s">
        <v>50</v>
      </c>
      <c r="M7" s="51">
        <f>INTERCEPT(D6:D41,A6:A41)</f>
        <v>27.528571428571428</v>
      </c>
      <c r="N7" s="44" t="s">
        <v>59</v>
      </c>
    </row>
    <row r="8" spans="1:246" ht="15" customHeight="1" x14ac:dyDescent="0.3">
      <c r="A8" s="55">
        <v>3</v>
      </c>
      <c r="B8" s="77"/>
      <c r="C8" s="30" t="s">
        <v>2</v>
      </c>
      <c r="D8" s="16">
        <v>30</v>
      </c>
      <c r="E8" s="23">
        <f t="shared" si="3"/>
        <v>28.240154440154441</v>
      </c>
      <c r="F8" s="23">
        <f t="shared" si="0"/>
        <v>1.7598455598455587</v>
      </c>
      <c r="G8" s="23">
        <f t="shared" si="1"/>
        <v>1.7598455598455587</v>
      </c>
      <c r="H8" s="25">
        <f t="shared" si="2"/>
        <v>3.0970563945081278</v>
      </c>
      <c r="J8" s="38"/>
      <c r="K8" s="48" t="s">
        <v>27</v>
      </c>
      <c r="L8" s="50" t="s">
        <v>51</v>
      </c>
      <c r="M8" s="51">
        <f>SLOPE(D6:D41,A6:A41)</f>
        <v>0.23719433719433725</v>
      </c>
      <c r="N8" s="44" t="s">
        <v>58</v>
      </c>
    </row>
    <row r="9" spans="1:246" ht="15" customHeight="1" x14ac:dyDescent="0.25">
      <c r="A9" s="55">
        <v>4</v>
      </c>
      <c r="B9" s="77"/>
      <c r="C9" s="30" t="s">
        <v>3</v>
      </c>
      <c r="D9" s="16">
        <v>32</v>
      </c>
      <c r="E9" s="23">
        <f t="shared" si="3"/>
        <v>28.477348777348777</v>
      </c>
      <c r="F9" s="23">
        <f t="shared" si="0"/>
        <v>3.5226512226512234</v>
      </c>
      <c r="G9" s="23">
        <f t="shared" si="1"/>
        <v>3.5226512226512234</v>
      </c>
      <c r="H9" s="25">
        <f t="shared" si="2"/>
        <v>12.409071636446159</v>
      </c>
    </row>
    <row r="10" spans="1:246" ht="15" customHeight="1" x14ac:dyDescent="0.25">
      <c r="A10" s="55">
        <v>5</v>
      </c>
      <c r="B10" s="77"/>
      <c r="C10" s="30" t="s">
        <v>4</v>
      </c>
      <c r="D10" s="16">
        <v>29</v>
      </c>
      <c r="E10" s="23">
        <f t="shared" si="3"/>
        <v>28.714543114543115</v>
      </c>
      <c r="F10" s="23">
        <f t="shared" si="0"/>
        <v>0.28545688545688463</v>
      </c>
      <c r="G10" s="23">
        <f t="shared" si="1"/>
        <v>0.28545688545688463</v>
      </c>
      <c r="H10" s="25">
        <f t="shared" si="2"/>
        <v>8.1485633454744952E-2</v>
      </c>
    </row>
    <row r="11" spans="1:246" ht="15" customHeight="1" x14ac:dyDescent="0.25">
      <c r="A11" s="55">
        <v>6</v>
      </c>
      <c r="B11" s="77"/>
      <c r="C11" s="30" t="s">
        <v>5</v>
      </c>
      <c r="D11" s="16">
        <v>33</v>
      </c>
      <c r="E11" s="23">
        <f t="shared" si="3"/>
        <v>28.951737451737451</v>
      </c>
      <c r="F11" s="23">
        <f t="shared" si="0"/>
        <v>4.0482625482625494</v>
      </c>
      <c r="G11" s="23">
        <f t="shared" si="1"/>
        <v>4.0482625482625494</v>
      </c>
      <c r="H11" s="25">
        <f t="shared" si="2"/>
        <v>16.388429659665189</v>
      </c>
    </row>
    <row r="12" spans="1:246" ht="15" customHeight="1" x14ac:dyDescent="0.25">
      <c r="A12" s="55">
        <v>7</v>
      </c>
      <c r="B12" s="77"/>
      <c r="C12" s="30" t="s">
        <v>6</v>
      </c>
      <c r="D12" s="16">
        <v>34</v>
      </c>
      <c r="E12" s="23">
        <f t="shared" si="3"/>
        <v>29.188931788931789</v>
      </c>
      <c r="F12" s="23">
        <f t="shared" si="0"/>
        <v>4.8110682110682106</v>
      </c>
      <c r="G12" s="23">
        <f t="shared" si="1"/>
        <v>4.8110682110682106</v>
      </c>
      <c r="H12" s="25">
        <f t="shared" si="2"/>
        <v>23.146377331551072</v>
      </c>
    </row>
    <row r="13" spans="1:246" ht="15" customHeight="1" x14ac:dyDescent="0.25">
      <c r="A13" s="55">
        <v>8</v>
      </c>
      <c r="B13" s="77"/>
      <c r="C13" s="30" t="s">
        <v>7</v>
      </c>
      <c r="D13" s="16">
        <v>29</v>
      </c>
      <c r="E13" s="23">
        <f t="shared" si="3"/>
        <v>29.426126126126128</v>
      </c>
      <c r="F13" s="23">
        <f t="shared" si="0"/>
        <v>-0.42612612612612821</v>
      </c>
      <c r="G13" s="23">
        <f t="shared" si="1"/>
        <v>0.42612612612612821</v>
      </c>
      <c r="H13" s="25">
        <f t="shared" si="2"/>
        <v>0.18158347536726094</v>
      </c>
    </row>
    <row r="14" spans="1:246" ht="15" customHeight="1" x14ac:dyDescent="0.25">
      <c r="A14" s="55">
        <v>9</v>
      </c>
      <c r="B14" s="77"/>
      <c r="C14" s="30" t="s">
        <v>8</v>
      </c>
      <c r="D14" s="16">
        <v>29</v>
      </c>
      <c r="E14" s="23">
        <f t="shared" si="3"/>
        <v>29.663320463320463</v>
      </c>
      <c r="F14" s="23">
        <f t="shared" si="0"/>
        <v>-0.66332046332046346</v>
      </c>
      <c r="G14" s="23">
        <f t="shared" si="1"/>
        <v>0.66332046332046346</v>
      </c>
      <c r="H14" s="25">
        <f t="shared" si="2"/>
        <v>0.43999403705967433</v>
      </c>
    </row>
    <row r="15" spans="1:246" ht="15" customHeight="1" x14ac:dyDescent="0.25">
      <c r="A15" s="55">
        <v>10</v>
      </c>
      <c r="B15" s="77"/>
      <c r="C15" s="30" t="s">
        <v>9</v>
      </c>
      <c r="D15" s="16">
        <v>32</v>
      </c>
      <c r="E15" s="23">
        <f t="shared" si="3"/>
        <v>29.900514800514802</v>
      </c>
      <c r="F15" s="23">
        <f t="shared" si="0"/>
        <v>2.0994851994851977</v>
      </c>
      <c r="G15" s="23">
        <f t="shared" si="1"/>
        <v>2.0994851994851977</v>
      </c>
      <c r="H15" s="25">
        <f t="shared" si="2"/>
        <v>4.4078381028574007</v>
      </c>
    </row>
    <row r="16" spans="1:246" ht="15" customHeight="1" x14ac:dyDescent="0.25">
      <c r="A16" s="55">
        <v>11</v>
      </c>
      <c r="B16" s="77"/>
      <c r="C16" s="30" t="s">
        <v>10</v>
      </c>
      <c r="D16" s="16">
        <v>31</v>
      </c>
      <c r="E16" s="23">
        <f t="shared" si="3"/>
        <v>30.137709137709138</v>
      </c>
      <c r="F16" s="23">
        <f t="shared" si="0"/>
        <v>0.86229086229086249</v>
      </c>
      <c r="G16" s="23">
        <f t="shared" si="1"/>
        <v>0.86229086229086249</v>
      </c>
      <c r="H16" s="25">
        <f t="shared" si="2"/>
        <v>0.74354553119031919</v>
      </c>
    </row>
    <row r="17" spans="1:8" ht="15" customHeight="1" thickBot="1" x14ac:dyDescent="0.3">
      <c r="A17" s="55">
        <v>12</v>
      </c>
      <c r="B17" s="78"/>
      <c r="C17" s="31" t="s">
        <v>11</v>
      </c>
      <c r="D17" s="17">
        <v>25</v>
      </c>
      <c r="E17" s="23">
        <f t="shared" si="3"/>
        <v>30.374903474903476</v>
      </c>
      <c r="F17" s="24">
        <f t="shared" si="0"/>
        <v>-5.3749034749034763</v>
      </c>
      <c r="G17" s="24">
        <f t="shared" si="1"/>
        <v>5.3749034749034763</v>
      </c>
      <c r="H17" s="26">
        <f t="shared" si="2"/>
        <v>28.889587364529465</v>
      </c>
    </row>
    <row r="18" spans="1:8" ht="15" customHeight="1" x14ac:dyDescent="0.25">
      <c r="A18" s="55">
        <v>13</v>
      </c>
      <c r="B18" s="76">
        <v>2024</v>
      </c>
      <c r="C18" s="30" t="s">
        <v>0</v>
      </c>
      <c r="D18" s="16">
        <v>25</v>
      </c>
      <c r="E18" s="23">
        <f t="shared" si="3"/>
        <v>30.612097812097812</v>
      </c>
      <c r="F18" s="23">
        <f t="shared" si="0"/>
        <v>-5.6120978120978116</v>
      </c>
      <c r="G18" s="23">
        <f t="shared" si="1"/>
        <v>5.6120978120978116</v>
      </c>
      <c r="H18" s="25">
        <f t="shared" si="2"/>
        <v>31.495641852553042</v>
      </c>
    </row>
    <row r="19" spans="1:8" s="3" customFormat="1" ht="15" customHeight="1" x14ac:dyDescent="0.25">
      <c r="A19" s="55">
        <v>14</v>
      </c>
      <c r="B19" s="77"/>
      <c r="C19" s="30" t="s">
        <v>1</v>
      </c>
      <c r="D19" s="16">
        <v>25</v>
      </c>
      <c r="E19" s="23">
        <f t="shared" si="3"/>
        <v>30.84929214929215</v>
      </c>
      <c r="F19" s="23">
        <f t="shared" si="0"/>
        <v>-5.8492921492921504</v>
      </c>
      <c r="G19" s="23">
        <f t="shared" si="1"/>
        <v>5.8492921492921504</v>
      </c>
      <c r="H19" s="25">
        <f t="shared" si="2"/>
        <v>34.214218647770785</v>
      </c>
    </row>
    <row r="20" spans="1:8" ht="15" customHeight="1" x14ac:dyDescent="0.25">
      <c r="A20" s="55">
        <v>15</v>
      </c>
      <c r="B20" s="77"/>
      <c r="C20" s="30" t="s">
        <v>2</v>
      </c>
      <c r="D20" s="16">
        <v>28</v>
      </c>
      <c r="E20" s="23">
        <f t="shared" si="3"/>
        <v>31.086486486486486</v>
      </c>
      <c r="F20" s="23">
        <f t="shared" si="0"/>
        <v>-3.0864864864864856</v>
      </c>
      <c r="G20" s="23">
        <f t="shared" si="1"/>
        <v>3.0864864864864856</v>
      </c>
      <c r="H20" s="25">
        <f t="shared" si="2"/>
        <v>9.5263988312636911</v>
      </c>
    </row>
    <row r="21" spans="1:8" x14ac:dyDescent="0.25">
      <c r="A21" s="55">
        <v>16</v>
      </c>
      <c r="B21" s="77"/>
      <c r="C21" s="30" t="s">
        <v>3</v>
      </c>
      <c r="D21" s="16">
        <v>30</v>
      </c>
      <c r="E21" s="23">
        <f t="shared" si="3"/>
        <v>31.323680823680824</v>
      </c>
      <c r="F21" s="23">
        <f t="shared" si="0"/>
        <v>-1.3236808236808244</v>
      </c>
      <c r="G21" s="23">
        <f t="shared" si="1"/>
        <v>1.3236808236808244</v>
      </c>
      <c r="H21" s="25">
        <f t="shared" si="2"/>
        <v>1.7521309229803457</v>
      </c>
    </row>
    <row r="22" spans="1:8" x14ac:dyDescent="0.25">
      <c r="A22" s="55">
        <v>17</v>
      </c>
      <c r="B22" s="77"/>
      <c r="C22" s="30" t="s">
        <v>4</v>
      </c>
      <c r="D22" s="16">
        <v>30</v>
      </c>
      <c r="E22" s="23">
        <f t="shared" si="3"/>
        <v>31.560875160875163</v>
      </c>
      <c r="F22" s="23">
        <f t="shared" si="0"/>
        <v>-1.5608751608751632</v>
      </c>
      <c r="G22" s="23">
        <f t="shared" si="1"/>
        <v>1.5608751608751632</v>
      </c>
      <c r="H22" s="25">
        <f t="shared" si="2"/>
        <v>2.4363312678370668</v>
      </c>
    </row>
    <row r="23" spans="1:8" x14ac:dyDescent="0.25">
      <c r="A23" s="55">
        <v>18</v>
      </c>
      <c r="B23" s="77"/>
      <c r="C23" s="30" t="s">
        <v>5</v>
      </c>
      <c r="D23" s="16">
        <v>32</v>
      </c>
      <c r="E23" s="23">
        <f t="shared" si="3"/>
        <v>31.798069498069498</v>
      </c>
      <c r="F23" s="23">
        <f t="shared" si="0"/>
        <v>0.20193050193050155</v>
      </c>
      <c r="G23" s="23">
        <f t="shared" si="1"/>
        <v>0.20193050193050155</v>
      </c>
      <c r="H23" s="25">
        <f t="shared" si="2"/>
        <v>4.077592760990429E-2</v>
      </c>
    </row>
    <row r="24" spans="1:8" x14ac:dyDescent="0.25">
      <c r="A24" s="55">
        <v>19</v>
      </c>
      <c r="B24" s="77"/>
      <c r="C24" s="30" t="s">
        <v>6</v>
      </c>
      <c r="D24" s="16">
        <v>39</v>
      </c>
      <c r="E24" s="23">
        <f t="shared" si="3"/>
        <v>32.035263835263834</v>
      </c>
      <c r="F24" s="23">
        <f t="shared" si="0"/>
        <v>6.9647361647361663</v>
      </c>
      <c r="G24" s="23">
        <f t="shared" si="1"/>
        <v>6.9647361647361663</v>
      </c>
      <c r="H24" s="25">
        <f t="shared" si="2"/>
        <v>48.507549844383846</v>
      </c>
    </row>
    <row r="25" spans="1:8" x14ac:dyDescent="0.25">
      <c r="A25" s="55">
        <v>20</v>
      </c>
      <c r="B25" s="77"/>
      <c r="C25" s="30" t="s">
        <v>7</v>
      </c>
      <c r="D25" s="16">
        <v>38</v>
      </c>
      <c r="E25" s="23">
        <f t="shared" si="3"/>
        <v>32.272458172458172</v>
      </c>
      <c r="F25" s="23">
        <f t="shared" si="0"/>
        <v>5.7275418275418275</v>
      </c>
      <c r="G25" s="23">
        <f t="shared" si="1"/>
        <v>5.7275418275418275</v>
      </c>
      <c r="H25" s="25">
        <f t="shared" si="2"/>
        <v>32.804735386241177</v>
      </c>
    </row>
    <row r="26" spans="1:8" x14ac:dyDescent="0.25">
      <c r="A26" s="55">
        <v>21</v>
      </c>
      <c r="B26" s="77"/>
      <c r="C26" s="30" t="s">
        <v>8</v>
      </c>
      <c r="D26" s="16">
        <v>37</v>
      </c>
      <c r="E26" s="23">
        <f t="shared" si="3"/>
        <v>32.509652509652511</v>
      </c>
      <c r="F26" s="23">
        <f t="shared" si="0"/>
        <v>4.4903474903474887</v>
      </c>
      <c r="G26" s="23">
        <f t="shared" si="1"/>
        <v>4.4903474903474887</v>
      </c>
      <c r="H26" s="25">
        <f t="shared" si="2"/>
        <v>20.16322058406999</v>
      </c>
    </row>
    <row r="27" spans="1:8" x14ac:dyDescent="0.25">
      <c r="A27" s="55">
        <v>22</v>
      </c>
      <c r="B27" s="77"/>
      <c r="C27" s="30" t="s">
        <v>9</v>
      </c>
      <c r="D27" s="16">
        <v>40</v>
      </c>
      <c r="E27" s="23">
        <f t="shared" si="3"/>
        <v>32.74684684684685</v>
      </c>
      <c r="F27" s="23">
        <f t="shared" si="0"/>
        <v>7.2531531531531499</v>
      </c>
      <c r="G27" s="23">
        <f t="shared" si="1"/>
        <v>7.2531531531531499</v>
      </c>
      <c r="H27" s="25">
        <f t="shared" si="2"/>
        <v>52.608230663095483</v>
      </c>
    </row>
    <row r="28" spans="1:8" x14ac:dyDescent="0.25">
      <c r="A28" s="55">
        <v>23</v>
      </c>
      <c r="B28" s="77"/>
      <c r="C28" s="30" t="s">
        <v>10</v>
      </c>
      <c r="D28" s="16">
        <v>40</v>
      </c>
      <c r="E28" s="23">
        <f t="shared" si="3"/>
        <v>32.984041184041189</v>
      </c>
      <c r="F28" s="23">
        <f>D28-E28</f>
        <v>7.0159588159588111</v>
      </c>
      <c r="G28" s="23">
        <f t="shared" si="1"/>
        <v>7.0159588159588111</v>
      </c>
      <c r="H28" s="25">
        <f t="shared" si="2"/>
        <v>49.223678107230164</v>
      </c>
    </row>
    <row r="29" spans="1:8" ht="15.75" thickBot="1" x14ac:dyDescent="0.3">
      <c r="A29" s="55">
        <v>24</v>
      </c>
      <c r="B29" s="78"/>
      <c r="C29" s="31" t="s">
        <v>11</v>
      </c>
      <c r="D29" s="17">
        <v>33</v>
      </c>
      <c r="E29" s="23">
        <f t="shared" si="3"/>
        <v>33.221235521235521</v>
      </c>
      <c r="F29" s="24">
        <f t="shared" si="0"/>
        <v>-0.22123552123552059</v>
      </c>
      <c r="G29" s="24">
        <f t="shared" si="1"/>
        <v>0.22123552123552059</v>
      </c>
      <c r="H29" s="26">
        <f t="shared" si="2"/>
        <v>4.8945155856352486E-2</v>
      </c>
    </row>
    <row r="30" spans="1:8" x14ac:dyDescent="0.25">
      <c r="A30" s="55">
        <v>25</v>
      </c>
      <c r="B30" s="76">
        <v>2025</v>
      </c>
      <c r="C30" s="30" t="s">
        <v>0</v>
      </c>
      <c r="D30" s="16">
        <v>35</v>
      </c>
      <c r="E30" s="23">
        <f t="shared" si="3"/>
        <v>33.458429858429859</v>
      </c>
      <c r="F30" s="23">
        <f t="shared" si="0"/>
        <v>1.5415701415701406</v>
      </c>
      <c r="G30" s="23">
        <f t="shared" si="1"/>
        <v>1.5415701415701406</v>
      </c>
      <c r="H30" s="25">
        <f t="shared" si="2"/>
        <v>2.3764385013805835</v>
      </c>
    </row>
    <row r="31" spans="1:8" x14ac:dyDescent="0.25">
      <c r="A31" s="55">
        <v>26</v>
      </c>
      <c r="B31" s="77"/>
      <c r="C31" s="30" t="s">
        <v>1</v>
      </c>
      <c r="D31" s="16">
        <v>31</v>
      </c>
      <c r="E31" s="23">
        <f t="shared" si="3"/>
        <v>33.695624195624198</v>
      </c>
      <c r="F31" s="23">
        <f t="shared" si="0"/>
        <v>-2.6956241956241982</v>
      </c>
      <c r="G31" s="23">
        <f t="shared" si="1"/>
        <v>2.6956241956241982</v>
      </c>
      <c r="H31" s="25">
        <f t="shared" si="2"/>
        <v>7.2663898040346053</v>
      </c>
    </row>
    <row r="32" spans="1:8" x14ac:dyDescent="0.25">
      <c r="A32" s="55">
        <v>27</v>
      </c>
      <c r="B32" s="77"/>
      <c r="C32" s="30" t="s">
        <v>2</v>
      </c>
      <c r="D32" s="16">
        <v>33</v>
      </c>
      <c r="E32" s="23">
        <f t="shared" si="3"/>
        <v>33.932818532818537</v>
      </c>
      <c r="F32" s="23">
        <f t="shared" si="0"/>
        <v>-0.93281853281853699</v>
      </c>
      <c r="G32" s="23">
        <f t="shared" si="1"/>
        <v>0.93281853281853699</v>
      </c>
      <c r="H32" s="25">
        <f t="shared" si="2"/>
        <v>0.87015041516972802</v>
      </c>
    </row>
    <row r="33" spans="1:8" x14ac:dyDescent="0.25">
      <c r="A33" s="55">
        <v>28</v>
      </c>
      <c r="B33" s="77"/>
      <c r="C33" s="30" t="s">
        <v>3</v>
      </c>
      <c r="D33" s="16">
        <v>40</v>
      </c>
      <c r="E33" s="23">
        <f t="shared" si="3"/>
        <v>34.170012870012869</v>
      </c>
      <c r="F33" s="23">
        <f t="shared" si="0"/>
        <v>5.8299871299871313</v>
      </c>
      <c r="G33" s="23">
        <f t="shared" si="1"/>
        <v>5.8299871299871313</v>
      </c>
      <c r="H33" s="25">
        <f t="shared" si="2"/>
        <v>33.988749935815591</v>
      </c>
    </row>
    <row r="34" spans="1:8" x14ac:dyDescent="0.25">
      <c r="A34" s="55">
        <v>29</v>
      </c>
      <c r="B34" s="77"/>
      <c r="C34" s="30" t="s">
        <v>4</v>
      </c>
      <c r="D34" s="16">
        <v>38</v>
      </c>
      <c r="E34" s="23">
        <f t="shared" si="3"/>
        <v>34.407207207207207</v>
      </c>
      <c r="F34" s="23">
        <f t="shared" si="0"/>
        <v>3.5927927927927925</v>
      </c>
      <c r="G34" s="23">
        <f t="shared" si="1"/>
        <v>3.5927927927927925</v>
      </c>
      <c r="H34" s="25">
        <f t="shared" si="2"/>
        <v>12.908160051943833</v>
      </c>
    </row>
    <row r="35" spans="1:8" x14ac:dyDescent="0.25">
      <c r="A35" s="55">
        <v>30</v>
      </c>
      <c r="B35" s="77"/>
      <c r="C35" s="30" t="s">
        <v>5</v>
      </c>
      <c r="D35" s="16">
        <v>36</v>
      </c>
      <c r="E35" s="23">
        <f t="shared" si="3"/>
        <v>34.644401544401546</v>
      </c>
      <c r="F35" s="23">
        <f t="shared" si="0"/>
        <v>1.3555984555984537</v>
      </c>
      <c r="G35" s="23">
        <f t="shared" si="1"/>
        <v>1.3555984555984537</v>
      </c>
      <c r="H35" s="25">
        <f t="shared" si="2"/>
        <v>1.8376471728209129</v>
      </c>
    </row>
    <row r="36" spans="1:8" x14ac:dyDescent="0.25">
      <c r="A36" s="55">
        <v>31</v>
      </c>
      <c r="B36" s="77"/>
      <c r="C36" s="30" t="s">
        <v>6</v>
      </c>
      <c r="D36" s="16">
        <v>35</v>
      </c>
      <c r="E36" s="23">
        <f t="shared" si="3"/>
        <v>34.881595881595885</v>
      </c>
      <c r="F36" s="23">
        <f t="shared" si="0"/>
        <v>0.11840411840411491</v>
      </c>
      <c r="G36" s="23">
        <f t="shared" si="1"/>
        <v>0.11840411840411491</v>
      </c>
      <c r="H36" s="25">
        <f t="shared" si="2"/>
        <v>1.4019535255055664E-2</v>
      </c>
    </row>
    <row r="37" spans="1:8" x14ac:dyDescent="0.25">
      <c r="A37" s="55">
        <v>32</v>
      </c>
      <c r="B37" s="77"/>
      <c r="C37" s="30" t="s">
        <v>7</v>
      </c>
      <c r="D37" s="16">
        <v>29</v>
      </c>
      <c r="E37" s="23">
        <f t="shared" si="3"/>
        <v>35.118790218790224</v>
      </c>
      <c r="F37" s="23">
        <f t="shared" si="0"/>
        <v>-6.1187902187902239</v>
      </c>
      <c r="G37" s="23">
        <f t="shared" si="1"/>
        <v>6.1187902187902239</v>
      </c>
      <c r="H37" s="25">
        <f t="shared" si="2"/>
        <v>37.439593741562916</v>
      </c>
    </row>
    <row r="38" spans="1:8" x14ac:dyDescent="0.25">
      <c r="A38" s="55">
        <v>33</v>
      </c>
      <c r="B38" s="77"/>
      <c r="C38" s="30" t="s">
        <v>8</v>
      </c>
      <c r="D38" s="16">
        <v>25</v>
      </c>
      <c r="E38" s="23">
        <f t="shared" si="3"/>
        <v>35.355984555984556</v>
      </c>
      <c r="F38" s="23">
        <f t="shared" si="0"/>
        <v>-10.355984555984556</v>
      </c>
      <c r="G38" s="23">
        <f t="shared" si="1"/>
        <v>10.355984555984556</v>
      </c>
      <c r="H38" s="25">
        <f t="shared" si="2"/>
        <v>107.24641612379064</v>
      </c>
    </row>
    <row r="39" spans="1:8" x14ac:dyDescent="0.25">
      <c r="A39" s="55">
        <v>34</v>
      </c>
      <c r="B39" s="77"/>
      <c r="C39" s="30" t="s">
        <v>9</v>
      </c>
      <c r="D39" s="16">
        <v>30</v>
      </c>
      <c r="E39" s="23">
        <f t="shared" si="3"/>
        <v>35.593178893178894</v>
      </c>
      <c r="F39" s="23">
        <f t="shared" si="0"/>
        <v>-5.5931788931788944</v>
      </c>
      <c r="G39" s="23">
        <f t="shared" si="1"/>
        <v>5.5931788931788944</v>
      </c>
      <c r="H39" s="25">
        <f t="shared" si="2"/>
        <v>31.283650131101883</v>
      </c>
    </row>
    <row r="40" spans="1:8" x14ac:dyDescent="0.25">
      <c r="A40" s="55">
        <v>35</v>
      </c>
      <c r="B40" s="77"/>
      <c r="C40" s="30" t="s">
        <v>10</v>
      </c>
      <c r="D40" s="16">
        <v>33</v>
      </c>
      <c r="E40" s="23">
        <f t="shared" si="3"/>
        <v>35.830373230373233</v>
      </c>
      <c r="F40" s="23">
        <f t="shared" si="0"/>
        <v>-2.8303732303732332</v>
      </c>
      <c r="G40" s="23">
        <f t="shared" si="1"/>
        <v>2.8303732303732332</v>
      </c>
      <c r="H40" s="25">
        <f t="shared" si="2"/>
        <v>8.0110126232134107</v>
      </c>
    </row>
    <row r="41" spans="1:8" ht="15.75" thickBot="1" x14ac:dyDescent="0.3">
      <c r="A41" s="55">
        <v>36</v>
      </c>
      <c r="B41" s="78"/>
      <c r="C41" s="31" t="s">
        <v>11</v>
      </c>
      <c r="D41" s="17">
        <v>40</v>
      </c>
      <c r="E41" s="23">
        <f t="shared" si="3"/>
        <v>36.067567567567565</v>
      </c>
      <c r="F41" s="24">
        <f t="shared" si="0"/>
        <v>3.9324324324324351</v>
      </c>
      <c r="G41" s="24">
        <f t="shared" si="1"/>
        <v>3.9324324324324351</v>
      </c>
      <c r="H41" s="26">
        <f t="shared" si="2"/>
        <v>15.464024835646478</v>
      </c>
    </row>
    <row r="42" spans="1:8" x14ac:dyDescent="0.25">
      <c r="F42" s="57"/>
      <c r="G42" s="41">
        <f>AVERAGE(G10:G41)</f>
        <v>3.524243886743887</v>
      </c>
      <c r="H42" s="42">
        <f>AVERAGE(H10:H41)</f>
        <v>19.243967224946957</v>
      </c>
    </row>
    <row r="43" spans="1:8" x14ac:dyDescent="0.25">
      <c r="G43" s="56" t="s">
        <v>70</v>
      </c>
      <c r="H43" s="56" t="s">
        <v>48</v>
      </c>
    </row>
  </sheetData>
  <mergeCells count="7">
    <mergeCell ref="B30:B41"/>
    <mergeCell ref="B4:B5"/>
    <mergeCell ref="C4:C5"/>
    <mergeCell ref="D4:D5"/>
    <mergeCell ref="E4:H4"/>
    <mergeCell ref="B6:B17"/>
    <mergeCell ref="B18:B29"/>
  </mergeCells>
  <conditionalFormatting sqref="F6:F41">
    <cfRule type="cellIs" dxfId="5" priority="1" operator="lessThan">
      <formula>0</formula>
    </cfRule>
  </conditionalFormatting>
  <pageMargins left="0.3" right="0.3" top="0.3" bottom="0.3" header="0" footer="0"/>
  <pageSetup scale="85"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pageSetUpPr fitToPage="1"/>
  </sheetPr>
  <dimension ref="A1:IM15"/>
  <sheetViews>
    <sheetView showGridLines="0" zoomScale="145" zoomScaleNormal="145" workbookViewId="0">
      <pane ySplit="5" topLeftCell="A6" activePane="bottomLeft" state="frozen"/>
      <selection pane="bottomLeft" activeCell="C10" sqref="C10"/>
    </sheetView>
  </sheetViews>
  <sheetFormatPr defaultColWidth="8" defaultRowHeight="15" x14ac:dyDescent="0.25"/>
  <cols>
    <col min="1" max="1" width="3" style="2" customWidth="1"/>
    <col min="2" max="2" width="25.125" style="2" customWidth="1"/>
    <col min="3" max="9" width="13" style="2" customWidth="1"/>
    <col min="10" max="10" width="3" style="2" customWidth="1"/>
    <col min="11" max="16384" width="8" style="2"/>
  </cols>
  <sheetData>
    <row r="1" spans="1:247" s="11" customFormat="1" ht="45" customHeight="1" x14ac:dyDescent="0.25">
      <c r="A1" s="12"/>
      <c r="B1" s="15"/>
      <c r="C1" s="14"/>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row>
    <row r="2" spans="1:247" s="11" customFormat="1" ht="27" customHeight="1" x14ac:dyDescent="0.25">
      <c r="A2" s="12"/>
      <c r="B2" s="33" t="s">
        <v>52</v>
      </c>
      <c r="C2" s="14"/>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row>
    <row r="3" spans="1:247" s="11" customFormat="1" ht="20.100000000000001" customHeight="1" thickBot="1" x14ac:dyDescent="0.3">
      <c r="A3" s="12"/>
      <c r="B3" s="13" t="s">
        <v>87</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row>
    <row r="4" spans="1:247" s="10" customFormat="1" ht="20.100000000000001" customHeight="1" x14ac:dyDescent="0.25">
      <c r="B4" s="90" t="s">
        <v>37</v>
      </c>
      <c r="C4" s="83" t="s">
        <v>44</v>
      </c>
      <c r="D4" s="83" t="s">
        <v>45</v>
      </c>
    </row>
    <row r="5" spans="1:247" ht="24.95" customHeight="1" x14ac:dyDescent="0.25">
      <c r="B5" s="91"/>
      <c r="C5" s="84"/>
      <c r="D5" s="84"/>
    </row>
    <row r="6" spans="1:247" ht="15" customHeight="1" x14ac:dyDescent="0.25">
      <c r="B6" s="45" t="s">
        <v>38</v>
      </c>
      <c r="C6" s="37">
        <f>AVERAGE(Naïve!G18:G41)</f>
        <v>2.9583333333333335</v>
      </c>
      <c r="D6" s="37">
        <f>AVERAGE(Naïve!H18:H41)</f>
        <v>14.291666666666666</v>
      </c>
    </row>
    <row r="7" spans="1:247" ht="15" customHeight="1" x14ac:dyDescent="0.25">
      <c r="B7" s="7" t="s">
        <v>39</v>
      </c>
      <c r="C7" s="37">
        <f>AVERAGE('Naïve with Trend'!G18:G41)</f>
        <v>4.125</v>
      </c>
      <c r="D7" s="37">
        <f>AVERAGE('Naïve with Trend'!H18:H41)</f>
        <v>25.291666666666668</v>
      </c>
    </row>
    <row r="8" spans="1:247" ht="15" customHeight="1" x14ac:dyDescent="0.25">
      <c r="B8" s="7" t="s">
        <v>40</v>
      </c>
      <c r="C8" s="37">
        <f>AVERAGE('Naïve with Seasonality'!G18:G41)</f>
        <v>6.333333333333333</v>
      </c>
      <c r="D8" s="37">
        <f>AVERAGE('Naïve with Seasonality'!H18:H41)</f>
        <v>50.25</v>
      </c>
    </row>
    <row r="9" spans="1:247" ht="15" customHeight="1" x14ac:dyDescent="0.25">
      <c r="B9" s="7" t="s">
        <v>41</v>
      </c>
      <c r="C9" s="37">
        <f>AVERAGE('Moving Average'!G18:G41)</f>
        <v>3.9583333333333335</v>
      </c>
      <c r="D9" s="37">
        <f>AVERAGE('Moving Average'!H18:H41)</f>
        <v>23.171296296296301</v>
      </c>
    </row>
    <row r="10" spans="1:247" ht="15" customHeight="1" x14ac:dyDescent="0.25">
      <c r="B10" s="7" t="s">
        <v>42</v>
      </c>
      <c r="C10" s="37">
        <f>AVERAGE('Exponential Smoothing'!G18:G41)</f>
        <v>3.4430809938397338</v>
      </c>
      <c r="D10" s="37">
        <f>AVERAGE('Exponential Smoothing'!H18:H41)</f>
        <v>18.274282222459373</v>
      </c>
      <c r="G10" s="58"/>
      <c r="H10" s="58"/>
      <c r="I10" s="58"/>
      <c r="J10" s="58"/>
    </row>
    <row r="11" spans="1:247" ht="15" customHeight="1" x14ac:dyDescent="0.25">
      <c r="B11" s="7" t="s">
        <v>43</v>
      </c>
      <c r="C11" s="37">
        <f>AVERAGE('Linear Regression'!G18:G41)</f>
        <v>3.9252037752037761</v>
      </c>
      <c r="D11" s="37">
        <f>AVERAGE('Linear Regression'!H18:H41)</f>
        <v>22.563671252609481</v>
      </c>
    </row>
    <row r="12" spans="1:247" ht="15" customHeight="1" x14ac:dyDescent="0.25"/>
    <row r="13" spans="1:247" s="3" customFormat="1" ht="15" customHeight="1" x14ac:dyDescent="0.2"/>
    <row r="14" spans="1:247" ht="15" customHeight="1" x14ac:dyDescent="0.25">
      <c r="C14" s="43"/>
    </row>
    <row r="15" spans="1:247" ht="15" customHeight="1" x14ac:dyDescent="0.25"/>
  </sheetData>
  <mergeCells count="3">
    <mergeCell ref="C4:C5"/>
    <mergeCell ref="D4:D5"/>
    <mergeCell ref="B4:B5"/>
  </mergeCells>
  <conditionalFormatting sqref="C6:C11">
    <cfRule type="top10" dxfId="4" priority="2" bottom="1" rank="1"/>
  </conditionalFormatting>
  <conditionalFormatting sqref="D6:D11">
    <cfRule type="top10" dxfId="3" priority="1" bottom="1" rank="1"/>
  </conditionalFormatting>
  <pageMargins left="0.3" right="0.3" top="0.3" bottom="0.3" header="0" footer="0"/>
  <pageSetup scale="85"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3C15A"/>
    <pageSetUpPr fitToPage="1"/>
  </sheetPr>
  <dimension ref="A1:IO67"/>
  <sheetViews>
    <sheetView showGridLines="0" tabSelected="1" zoomScaleNormal="100" workbookViewId="0">
      <pane ySplit="5" topLeftCell="A6" activePane="bottomLeft" state="frozen"/>
      <selection pane="bottomLeft" activeCell="T46" sqref="T46"/>
    </sheetView>
  </sheetViews>
  <sheetFormatPr defaultColWidth="8" defaultRowHeight="15" x14ac:dyDescent="0.25"/>
  <cols>
    <col min="1" max="1" width="3" style="2" customWidth="1"/>
    <col min="2" max="3" width="12.875" style="2" customWidth="1"/>
    <col min="4" max="8" width="13" style="2" customWidth="1"/>
    <col min="9" max="10" width="4.625" style="2" customWidth="1"/>
    <col min="11" max="11" width="8.625" style="2" customWidth="1"/>
    <col min="12" max="13" width="4.625" style="2" customWidth="1"/>
    <col min="14" max="14" width="24.625" style="2" customWidth="1"/>
    <col min="15" max="15" width="8" style="2"/>
    <col min="16" max="16" width="10.125" style="2" customWidth="1"/>
    <col min="17" max="17" width="5.625" style="2" customWidth="1"/>
    <col min="18" max="18" width="8" style="2" customWidth="1"/>
    <col min="19" max="19" width="9" style="2" bestFit="1" customWidth="1"/>
    <col min="20" max="16384" width="8" style="2"/>
  </cols>
  <sheetData>
    <row r="1" spans="1:249" s="11" customFormat="1" ht="45" customHeight="1" x14ac:dyDescent="0.25">
      <c r="A1" s="12"/>
      <c r="B1" s="15"/>
      <c r="C1" s="15"/>
      <c r="D1" s="12"/>
      <c r="E1" s="14"/>
      <c r="F1" s="12"/>
      <c r="G1" s="12"/>
      <c r="H1" s="12"/>
      <c r="I1" s="12"/>
      <c r="J1" s="12"/>
      <c r="K1" s="12"/>
      <c r="L1" s="12"/>
      <c r="M1" s="12"/>
      <c r="N1" s="61"/>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row>
    <row r="2" spans="1:249" s="11" customFormat="1" ht="45" customHeight="1" x14ac:dyDescent="0.25">
      <c r="A2" s="12"/>
      <c r="B2" s="71" t="s">
        <v>89</v>
      </c>
      <c r="C2" s="15"/>
      <c r="D2" s="12"/>
      <c r="E2" s="14"/>
      <c r="F2" s="12"/>
      <c r="G2" s="12"/>
      <c r="H2" s="12"/>
      <c r="I2" s="12"/>
      <c r="J2" s="12"/>
      <c r="K2" s="12"/>
      <c r="L2" s="12"/>
      <c r="M2" s="12"/>
      <c r="N2" s="61"/>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row>
    <row r="3" spans="1:249" s="11" customFormat="1" ht="27" customHeight="1" x14ac:dyDescent="0.25">
      <c r="A3" s="12"/>
      <c r="B3" s="32" t="s">
        <v>84</v>
      </c>
      <c r="C3" s="15"/>
      <c r="D3" s="12"/>
      <c r="E3" s="14"/>
      <c r="F3" s="12"/>
      <c r="G3" s="12"/>
      <c r="H3" s="12"/>
      <c r="I3" s="12"/>
      <c r="J3" s="12"/>
      <c r="K3" s="12"/>
      <c r="L3" s="12"/>
      <c r="M3" s="12"/>
      <c r="N3" s="61"/>
      <c r="O3" s="60"/>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row>
    <row r="4" spans="1:249" s="11" customFormat="1" ht="20.100000000000001" customHeight="1" thickBot="1" x14ac:dyDescent="0.3">
      <c r="A4" s="12"/>
      <c r="B4" s="13" t="s">
        <v>83</v>
      </c>
      <c r="C4" s="13"/>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row>
    <row r="5" spans="1:249" s="10" customFormat="1" ht="63.75" x14ac:dyDescent="0.25">
      <c r="B5" s="36" t="s">
        <v>12</v>
      </c>
      <c r="C5" s="36" t="s">
        <v>13</v>
      </c>
      <c r="D5" s="46" t="s">
        <v>14</v>
      </c>
      <c r="E5" s="35" t="s">
        <v>16</v>
      </c>
      <c r="F5" s="46" t="s">
        <v>15</v>
      </c>
      <c r="G5" s="46" t="s">
        <v>17</v>
      </c>
      <c r="H5" s="46" t="s">
        <v>19</v>
      </c>
      <c r="I5" s="46" t="s">
        <v>46</v>
      </c>
      <c r="J5" s="46" t="s">
        <v>47</v>
      </c>
      <c r="K5" s="46" t="s">
        <v>96</v>
      </c>
      <c r="L5" s="46" t="s">
        <v>46</v>
      </c>
      <c r="M5" s="46" t="s">
        <v>47</v>
      </c>
    </row>
    <row r="6" spans="1:249" ht="15" customHeight="1" x14ac:dyDescent="0.25">
      <c r="A6" s="79" t="s">
        <v>54</v>
      </c>
      <c r="B6" s="76">
        <v>2023</v>
      </c>
      <c r="C6" s="7" t="s">
        <v>0</v>
      </c>
      <c r="D6" s="6"/>
      <c r="E6" s="16">
        <v>19</v>
      </c>
      <c r="F6" s="6"/>
      <c r="G6" s="6"/>
      <c r="H6" s="19"/>
      <c r="I6" s="23"/>
      <c r="J6" s="23"/>
      <c r="K6" s="23"/>
      <c r="L6" s="23"/>
      <c r="M6" s="23"/>
      <c r="P6" s="63" t="s">
        <v>76</v>
      </c>
    </row>
    <row r="7" spans="1:249" ht="15" customHeight="1" x14ac:dyDescent="0.3">
      <c r="A7" s="79"/>
      <c r="B7" s="77"/>
      <c r="C7" s="7" t="s">
        <v>1</v>
      </c>
      <c r="D7" s="6">
        <f t="shared" ref="D7:D38" si="0">E6</f>
        <v>19</v>
      </c>
      <c r="E7" s="16">
        <v>24</v>
      </c>
      <c r="F7" s="6">
        <f t="shared" ref="F7:F38" si="1">E7-D7</f>
        <v>5</v>
      </c>
      <c r="G7" s="6">
        <f>ABS(F7)</f>
        <v>5</v>
      </c>
      <c r="H7" s="19">
        <f>G7^2</f>
        <v>25</v>
      </c>
      <c r="I7" s="23">
        <f>R$10</f>
        <v>7.4450520481726654</v>
      </c>
      <c r="J7" s="23">
        <f>R$11</f>
        <v>-7.4450520481726654</v>
      </c>
      <c r="K7" s="23">
        <f>(F7-$F$66)^2</f>
        <v>19.360000000000003</v>
      </c>
      <c r="L7" s="23">
        <f>$R$44</f>
        <v>7.9515864954443671</v>
      </c>
      <c r="M7" s="23">
        <f>$R$45</f>
        <v>-6.7515864954443678</v>
      </c>
      <c r="P7" s="48" t="s">
        <v>56</v>
      </c>
      <c r="Q7" s="49" t="s">
        <v>60</v>
      </c>
      <c r="R7" s="51">
        <v>1.96</v>
      </c>
      <c r="S7" s="44" t="s">
        <v>66</v>
      </c>
      <c r="T7"/>
      <c r="X7" s="22"/>
    </row>
    <row r="8" spans="1:249" ht="15" customHeight="1" x14ac:dyDescent="0.3">
      <c r="A8" s="79"/>
      <c r="B8" s="77"/>
      <c r="C8" s="7" t="s">
        <v>2</v>
      </c>
      <c r="D8" s="6">
        <f t="shared" si="0"/>
        <v>24</v>
      </c>
      <c r="E8" s="16">
        <v>30</v>
      </c>
      <c r="F8" s="6">
        <f t="shared" si="1"/>
        <v>6</v>
      </c>
      <c r="G8" s="6">
        <f t="shared" ref="G8:G41" si="2">ABS(F8)</f>
        <v>6</v>
      </c>
      <c r="H8" s="19">
        <f t="shared" ref="H8:H41" si="3">G8^2</f>
        <v>36</v>
      </c>
      <c r="I8" s="23">
        <f t="shared" ref="I8:I65" si="4">R$10</f>
        <v>7.4450520481726654</v>
      </c>
      <c r="J8" s="23">
        <f t="shared" ref="J8:J65" si="5">R$11</f>
        <v>-7.4450520481726654</v>
      </c>
      <c r="K8" s="23">
        <f t="shared" ref="K8:K65" si="6">(F8-$F$66)^2</f>
        <v>29.160000000000004</v>
      </c>
      <c r="L8" s="23">
        <f t="shared" ref="L8:L65" si="7">$R$44</f>
        <v>7.9515864954443671</v>
      </c>
      <c r="M8" s="23">
        <f t="shared" ref="M8:M65" si="8">$R$45</f>
        <v>-6.7515864954443678</v>
      </c>
      <c r="P8" s="48" t="s">
        <v>61</v>
      </c>
      <c r="Q8" s="50" t="s">
        <v>48</v>
      </c>
      <c r="R8" s="51">
        <f>AVERAGE(H7:H41)</f>
        <v>14.428571428571429</v>
      </c>
      <c r="S8" s="44" t="s">
        <v>88</v>
      </c>
      <c r="T8" s="47"/>
    </row>
    <row r="9" spans="1:249" ht="15" customHeight="1" x14ac:dyDescent="0.3">
      <c r="A9" s="79"/>
      <c r="B9" s="77"/>
      <c r="C9" s="7" t="s">
        <v>3</v>
      </c>
      <c r="D9" s="6">
        <f t="shared" si="0"/>
        <v>30</v>
      </c>
      <c r="E9" s="16">
        <v>32</v>
      </c>
      <c r="F9" s="6">
        <f t="shared" si="1"/>
        <v>2</v>
      </c>
      <c r="G9" s="6">
        <f t="shared" si="2"/>
        <v>2</v>
      </c>
      <c r="H9" s="19">
        <f t="shared" si="3"/>
        <v>4</v>
      </c>
      <c r="I9" s="23">
        <f t="shared" si="4"/>
        <v>7.4450520481726654</v>
      </c>
      <c r="J9" s="23">
        <f t="shared" si="5"/>
        <v>-7.4450520481726654</v>
      </c>
      <c r="K9" s="23">
        <f t="shared" si="6"/>
        <v>1.9599999999999997</v>
      </c>
      <c r="L9" s="23">
        <f t="shared" si="7"/>
        <v>7.9515864954443671</v>
      </c>
      <c r="M9" s="23">
        <f t="shared" si="8"/>
        <v>-6.7515864954443678</v>
      </c>
      <c r="P9" s="48" t="s">
        <v>62</v>
      </c>
      <c r="Q9" s="50" t="s">
        <v>63</v>
      </c>
      <c r="R9" s="51">
        <f>SQRT(R8)</f>
        <v>3.7984959429452374</v>
      </c>
      <c r="S9" s="44" t="s">
        <v>67</v>
      </c>
      <c r="T9"/>
      <c r="X9" s="52"/>
    </row>
    <row r="10" spans="1:249" ht="15" customHeight="1" x14ac:dyDescent="0.3">
      <c r="A10" s="79"/>
      <c r="B10" s="77"/>
      <c r="C10" s="7" t="s">
        <v>4</v>
      </c>
      <c r="D10" s="6">
        <f t="shared" si="0"/>
        <v>32</v>
      </c>
      <c r="E10" s="16">
        <v>29</v>
      </c>
      <c r="F10" s="6">
        <f t="shared" si="1"/>
        <v>-3</v>
      </c>
      <c r="G10" s="6">
        <f t="shared" si="2"/>
        <v>3</v>
      </c>
      <c r="H10" s="19">
        <f t="shared" si="3"/>
        <v>9</v>
      </c>
      <c r="I10" s="23">
        <f t="shared" si="4"/>
        <v>7.4450520481726654</v>
      </c>
      <c r="J10" s="23">
        <f t="shared" si="5"/>
        <v>-7.4450520481726654</v>
      </c>
      <c r="K10" s="23">
        <f t="shared" si="6"/>
        <v>12.96</v>
      </c>
      <c r="L10" s="23">
        <f t="shared" si="7"/>
        <v>7.9515864954443671</v>
      </c>
      <c r="M10" s="23">
        <f t="shared" si="8"/>
        <v>-6.7515864954443678</v>
      </c>
      <c r="P10" s="48" t="s">
        <v>64</v>
      </c>
      <c r="Q10" s="50" t="s">
        <v>46</v>
      </c>
      <c r="R10" s="51">
        <f>R7*R9</f>
        <v>7.4450520481726654</v>
      </c>
      <c r="S10" s="44" t="s">
        <v>74</v>
      </c>
      <c r="T10"/>
    </row>
    <row r="11" spans="1:249" ht="15" customHeight="1" x14ac:dyDescent="0.3">
      <c r="A11" s="79"/>
      <c r="B11" s="77"/>
      <c r="C11" s="7" t="s">
        <v>5</v>
      </c>
      <c r="D11" s="6">
        <f t="shared" si="0"/>
        <v>29</v>
      </c>
      <c r="E11" s="16">
        <v>33</v>
      </c>
      <c r="F11" s="6">
        <f t="shared" si="1"/>
        <v>4</v>
      </c>
      <c r="G11" s="6">
        <f t="shared" si="2"/>
        <v>4</v>
      </c>
      <c r="H11" s="19">
        <f t="shared" si="3"/>
        <v>16</v>
      </c>
      <c r="I11" s="23">
        <f t="shared" si="4"/>
        <v>7.4450520481726654</v>
      </c>
      <c r="J11" s="23">
        <f t="shared" si="5"/>
        <v>-7.4450520481726654</v>
      </c>
      <c r="K11" s="23">
        <f t="shared" si="6"/>
        <v>11.559999999999999</v>
      </c>
      <c r="L11" s="23">
        <f t="shared" si="7"/>
        <v>7.9515864954443671</v>
      </c>
      <c r="M11" s="23">
        <f t="shared" si="8"/>
        <v>-6.7515864954443678</v>
      </c>
      <c r="P11" s="48" t="s">
        <v>65</v>
      </c>
      <c r="Q11" s="50" t="s">
        <v>47</v>
      </c>
      <c r="R11" s="51">
        <f>-R7*R9</f>
        <v>-7.4450520481726654</v>
      </c>
      <c r="S11" s="44" t="s">
        <v>75</v>
      </c>
      <c r="T11"/>
    </row>
    <row r="12" spans="1:249" ht="15" customHeight="1" x14ac:dyDescent="0.3">
      <c r="A12" s="79"/>
      <c r="B12" s="77"/>
      <c r="C12" s="7" t="s">
        <v>6</v>
      </c>
      <c r="D12" s="6">
        <f t="shared" si="0"/>
        <v>33</v>
      </c>
      <c r="E12" s="16">
        <v>34</v>
      </c>
      <c r="F12" s="6">
        <f t="shared" si="1"/>
        <v>1</v>
      </c>
      <c r="G12" s="6">
        <f t="shared" si="2"/>
        <v>1</v>
      </c>
      <c r="H12" s="19">
        <f t="shared" si="3"/>
        <v>1</v>
      </c>
      <c r="I12" s="23">
        <f t="shared" si="4"/>
        <v>7.4450520481726654</v>
      </c>
      <c r="J12" s="23">
        <f t="shared" si="5"/>
        <v>-7.4450520481726654</v>
      </c>
      <c r="K12" s="23">
        <f t="shared" si="6"/>
        <v>0.16000000000000003</v>
      </c>
      <c r="L12" s="23">
        <f t="shared" si="7"/>
        <v>7.9515864954443671</v>
      </c>
      <c r="M12" s="23">
        <f t="shared" si="8"/>
        <v>-6.7515864954443678</v>
      </c>
      <c r="P12" s="48"/>
      <c r="Q12" s="50"/>
      <c r="R12" s="51"/>
      <c r="S12" s="44"/>
    </row>
    <row r="13" spans="1:249" ht="15" customHeight="1" x14ac:dyDescent="0.25">
      <c r="A13" s="79"/>
      <c r="B13" s="77"/>
      <c r="C13" s="7" t="s">
        <v>7</v>
      </c>
      <c r="D13" s="6">
        <f t="shared" si="0"/>
        <v>34</v>
      </c>
      <c r="E13" s="16">
        <v>29</v>
      </c>
      <c r="F13" s="6">
        <f t="shared" si="1"/>
        <v>-5</v>
      </c>
      <c r="G13" s="6">
        <f t="shared" si="2"/>
        <v>5</v>
      </c>
      <c r="H13" s="19">
        <f t="shared" si="3"/>
        <v>25</v>
      </c>
      <c r="I13" s="23">
        <f t="shared" si="4"/>
        <v>7.4450520481726654</v>
      </c>
      <c r="J13" s="23">
        <f t="shared" si="5"/>
        <v>-7.4450520481726654</v>
      </c>
      <c r="K13" s="23">
        <f t="shared" si="6"/>
        <v>31.359999999999996</v>
      </c>
      <c r="L13" s="23">
        <f t="shared" si="7"/>
        <v>7.9515864954443671</v>
      </c>
      <c r="M13" s="23">
        <f t="shared" si="8"/>
        <v>-6.7515864954443678</v>
      </c>
    </row>
    <row r="14" spans="1:249" ht="15" customHeight="1" x14ac:dyDescent="0.25">
      <c r="A14" s="79"/>
      <c r="B14" s="77"/>
      <c r="C14" s="7" t="s">
        <v>8</v>
      </c>
      <c r="D14" s="6">
        <f t="shared" si="0"/>
        <v>29</v>
      </c>
      <c r="E14" s="16">
        <v>29</v>
      </c>
      <c r="F14" s="6">
        <f t="shared" si="1"/>
        <v>0</v>
      </c>
      <c r="G14" s="6">
        <f t="shared" si="2"/>
        <v>0</v>
      </c>
      <c r="H14" s="19">
        <f t="shared" si="3"/>
        <v>0</v>
      </c>
      <c r="I14" s="23">
        <f t="shared" si="4"/>
        <v>7.4450520481726654</v>
      </c>
      <c r="J14" s="23">
        <f t="shared" si="5"/>
        <v>-7.4450520481726654</v>
      </c>
      <c r="K14" s="23">
        <f t="shared" si="6"/>
        <v>0.36</v>
      </c>
      <c r="L14" s="23">
        <f t="shared" si="7"/>
        <v>7.9515864954443671</v>
      </c>
      <c r="M14" s="23">
        <f t="shared" si="8"/>
        <v>-6.7515864954443678</v>
      </c>
    </row>
    <row r="15" spans="1:249" ht="15" customHeight="1" x14ac:dyDescent="0.25">
      <c r="A15" s="79"/>
      <c r="B15" s="77"/>
      <c r="C15" s="7" t="s">
        <v>9</v>
      </c>
      <c r="D15" s="6">
        <f t="shared" si="0"/>
        <v>29</v>
      </c>
      <c r="E15" s="16">
        <v>32</v>
      </c>
      <c r="F15" s="6">
        <f t="shared" si="1"/>
        <v>3</v>
      </c>
      <c r="G15" s="6">
        <f t="shared" si="2"/>
        <v>3</v>
      </c>
      <c r="H15" s="19">
        <f t="shared" si="3"/>
        <v>9</v>
      </c>
      <c r="I15" s="23">
        <f t="shared" si="4"/>
        <v>7.4450520481726654</v>
      </c>
      <c r="J15" s="23">
        <f t="shared" si="5"/>
        <v>-7.4450520481726654</v>
      </c>
      <c r="K15" s="23">
        <f t="shared" si="6"/>
        <v>5.76</v>
      </c>
      <c r="L15" s="23">
        <f t="shared" si="7"/>
        <v>7.9515864954443671</v>
      </c>
      <c r="M15" s="23">
        <f t="shared" si="8"/>
        <v>-6.7515864954443678</v>
      </c>
    </row>
    <row r="16" spans="1:249" ht="15" customHeight="1" x14ac:dyDescent="0.25">
      <c r="A16" s="79"/>
      <c r="B16" s="77"/>
      <c r="C16" s="7" t="s">
        <v>10</v>
      </c>
      <c r="D16" s="6">
        <f t="shared" si="0"/>
        <v>32</v>
      </c>
      <c r="E16" s="16">
        <v>31</v>
      </c>
      <c r="F16" s="6">
        <f t="shared" si="1"/>
        <v>-1</v>
      </c>
      <c r="G16" s="6">
        <f t="shared" si="2"/>
        <v>1</v>
      </c>
      <c r="H16" s="19">
        <f t="shared" si="3"/>
        <v>1</v>
      </c>
      <c r="I16" s="23">
        <f t="shared" si="4"/>
        <v>7.4450520481726654</v>
      </c>
      <c r="J16" s="23">
        <f t="shared" si="5"/>
        <v>-7.4450520481726654</v>
      </c>
      <c r="K16" s="23">
        <f t="shared" si="6"/>
        <v>2.5600000000000005</v>
      </c>
      <c r="L16" s="23">
        <f t="shared" si="7"/>
        <v>7.9515864954443671</v>
      </c>
      <c r="M16" s="23">
        <f t="shared" si="8"/>
        <v>-6.7515864954443678</v>
      </c>
    </row>
    <row r="17" spans="1:13" ht="15" customHeight="1" thickBot="1" x14ac:dyDescent="0.3">
      <c r="A17" s="79"/>
      <c r="B17" s="78"/>
      <c r="C17" s="5" t="s">
        <v>11</v>
      </c>
      <c r="D17" s="4">
        <f t="shared" si="0"/>
        <v>31</v>
      </c>
      <c r="E17" s="17">
        <v>25</v>
      </c>
      <c r="F17" s="4">
        <f t="shared" si="1"/>
        <v>-6</v>
      </c>
      <c r="G17" s="4">
        <f t="shared" si="2"/>
        <v>6</v>
      </c>
      <c r="H17" s="21">
        <f t="shared" si="3"/>
        <v>36</v>
      </c>
      <c r="I17" s="24">
        <f t="shared" si="4"/>
        <v>7.4450520481726654</v>
      </c>
      <c r="J17" s="24">
        <f t="shared" si="5"/>
        <v>-7.4450520481726654</v>
      </c>
      <c r="K17" s="23">
        <f t="shared" si="6"/>
        <v>43.559999999999995</v>
      </c>
      <c r="L17" s="23">
        <f t="shared" si="7"/>
        <v>7.9515864954443671</v>
      </c>
      <c r="M17" s="23">
        <f t="shared" si="8"/>
        <v>-6.7515864954443678</v>
      </c>
    </row>
    <row r="18" spans="1:13" ht="15" customHeight="1" x14ac:dyDescent="0.25">
      <c r="A18" s="79"/>
      <c r="B18" s="76">
        <v>2024</v>
      </c>
      <c r="C18" s="7" t="s">
        <v>0</v>
      </c>
      <c r="D18" s="6">
        <f t="shared" si="0"/>
        <v>25</v>
      </c>
      <c r="E18" s="16">
        <v>25</v>
      </c>
      <c r="F18" s="6">
        <f t="shared" si="1"/>
        <v>0</v>
      </c>
      <c r="G18" s="6">
        <f t="shared" si="2"/>
        <v>0</v>
      </c>
      <c r="H18" s="19">
        <f t="shared" si="3"/>
        <v>0</v>
      </c>
      <c r="I18" s="23">
        <f t="shared" si="4"/>
        <v>7.4450520481726654</v>
      </c>
      <c r="J18" s="23">
        <f t="shared" si="5"/>
        <v>-7.4450520481726654</v>
      </c>
      <c r="K18" s="23">
        <f t="shared" si="6"/>
        <v>0.36</v>
      </c>
      <c r="L18" s="23">
        <f t="shared" si="7"/>
        <v>7.9515864954443671</v>
      </c>
      <c r="M18" s="23">
        <f t="shared" si="8"/>
        <v>-6.7515864954443678</v>
      </c>
    </row>
    <row r="19" spans="1:13" s="3" customFormat="1" ht="15" customHeight="1" x14ac:dyDescent="0.2">
      <c r="A19" s="79"/>
      <c r="B19" s="77"/>
      <c r="C19" s="7" t="s">
        <v>1</v>
      </c>
      <c r="D19" s="6">
        <f t="shared" si="0"/>
        <v>25</v>
      </c>
      <c r="E19" s="16">
        <v>25</v>
      </c>
      <c r="F19" s="6">
        <f t="shared" si="1"/>
        <v>0</v>
      </c>
      <c r="G19" s="6">
        <f t="shared" si="2"/>
        <v>0</v>
      </c>
      <c r="H19" s="19">
        <f t="shared" si="3"/>
        <v>0</v>
      </c>
      <c r="I19" s="23">
        <f t="shared" si="4"/>
        <v>7.4450520481726654</v>
      </c>
      <c r="J19" s="23">
        <f t="shared" si="5"/>
        <v>-7.4450520481726654</v>
      </c>
      <c r="K19" s="23">
        <f t="shared" si="6"/>
        <v>0.36</v>
      </c>
      <c r="L19" s="23">
        <f t="shared" si="7"/>
        <v>7.9515864954443671</v>
      </c>
      <c r="M19" s="23">
        <f t="shared" si="8"/>
        <v>-6.7515864954443678</v>
      </c>
    </row>
    <row r="20" spans="1:13" ht="15" customHeight="1" x14ac:dyDescent="0.25">
      <c r="A20" s="79"/>
      <c r="B20" s="77"/>
      <c r="C20" s="7" t="s">
        <v>2</v>
      </c>
      <c r="D20" s="6">
        <f t="shared" si="0"/>
        <v>25</v>
      </c>
      <c r="E20" s="16">
        <v>28</v>
      </c>
      <c r="F20" s="6">
        <f t="shared" si="1"/>
        <v>3</v>
      </c>
      <c r="G20" s="6">
        <f t="shared" si="2"/>
        <v>3</v>
      </c>
      <c r="H20" s="19">
        <f t="shared" si="3"/>
        <v>9</v>
      </c>
      <c r="I20" s="23">
        <f t="shared" si="4"/>
        <v>7.4450520481726654</v>
      </c>
      <c r="J20" s="23">
        <f t="shared" si="5"/>
        <v>-7.4450520481726654</v>
      </c>
      <c r="K20" s="23">
        <f t="shared" si="6"/>
        <v>5.76</v>
      </c>
      <c r="L20" s="23">
        <f t="shared" si="7"/>
        <v>7.9515864954443671</v>
      </c>
      <c r="M20" s="23">
        <f t="shared" si="8"/>
        <v>-6.7515864954443678</v>
      </c>
    </row>
    <row r="21" spans="1:13" x14ac:dyDescent="0.25">
      <c r="A21" s="79"/>
      <c r="B21" s="77"/>
      <c r="C21" s="7" t="s">
        <v>3</v>
      </c>
      <c r="D21" s="6">
        <f t="shared" si="0"/>
        <v>28</v>
      </c>
      <c r="E21" s="16">
        <v>30</v>
      </c>
      <c r="F21" s="6">
        <f t="shared" si="1"/>
        <v>2</v>
      </c>
      <c r="G21" s="6">
        <f t="shared" si="2"/>
        <v>2</v>
      </c>
      <c r="H21" s="19">
        <f t="shared" si="3"/>
        <v>4</v>
      </c>
      <c r="I21" s="23">
        <f t="shared" si="4"/>
        <v>7.4450520481726654</v>
      </c>
      <c r="J21" s="23">
        <f t="shared" si="5"/>
        <v>-7.4450520481726654</v>
      </c>
      <c r="K21" s="23">
        <f t="shared" si="6"/>
        <v>1.9599999999999997</v>
      </c>
      <c r="L21" s="23">
        <f t="shared" si="7"/>
        <v>7.9515864954443671</v>
      </c>
      <c r="M21" s="23">
        <f t="shared" si="8"/>
        <v>-6.7515864954443678</v>
      </c>
    </row>
    <row r="22" spans="1:13" x14ac:dyDescent="0.25">
      <c r="A22" s="79"/>
      <c r="B22" s="77"/>
      <c r="C22" s="7" t="s">
        <v>4</v>
      </c>
      <c r="D22" s="6">
        <f t="shared" si="0"/>
        <v>30</v>
      </c>
      <c r="E22" s="16">
        <v>30</v>
      </c>
      <c r="F22" s="6">
        <f t="shared" si="1"/>
        <v>0</v>
      </c>
      <c r="G22" s="6">
        <f t="shared" si="2"/>
        <v>0</v>
      </c>
      <c r="H22" s="19">
        <f t="shared" si="3"/>
        <v>0</v>
      </c>
      <c r="I22" s="23">
        <f t="shared" si="4"/>
        <v>7.4450520481726654</v>
      </c>
      <c r="J22" s="23">
        <f t="shared" si="5"/>
        <v>-7.4450520481726654</v>
      </c>
      <c r="K22" s="23">
        <f t="shared" si="6"/>
        <v>0.36</v>
      </c>
      <c r="L22" s="23">
        <f t="shared" si="7"/>
        <v>7.9515864954443671</v>
      </c>
      <c r="M22" s="23">
        <f t="shared" si="8"/>
        <v>-6.7515864954443678</v>
      </c>
    </row>
    <row r="23" spans="1:13" x14ac:dyDescent="0.25">
      <c r="A23" s="79"/>
      <c r="B23" s="77"/>
      <c r="C23" s="7" t="s">
        <v>5</v>
      </c>
      <c r="D23" s="6">
        <f t="shared" si="0"/>
        <v>30</v>
      </c>
      <c r="E23" s="16">
        <v>32</v>
      </c>
      <c r="F23" s="6">
        <f t="shared" si="1"/>
        <v>2</v>
      </c>
      <c r="G23" s="6">
        <f t="shared" si="2"/>
        <v>2</v>
      </c>
      <c r="H23" s="19">
        <f t="shared" si="3"/>
        <v>4</v>
      </c>
      <c r="I23" s="23">
        <f t="shared" si="4"/>
        <v>7.4450520481726654</v>
      </c>
      <c r="J23" s="23">
        <f t="shared" si="5"/>
        <v>-7.4450520481726654</v>
      </c>
      <c r="K23" s="23">
        <f t="shared" si="6"/>
        <v>1.9599999999999997</v>
      </c>
      <c r="L23" s="23">
        <f t="shared" si="7"/>
        <v>7.9515864954443671</v>
      </c>
      <c r="M23" s="23">
        <f t="shared" si="8"/>
        <v>-6.7515864954443678</v>
      </c>
    </row>
    <row r="24" spans="1:13" x14ac:dyDescent="0.25">
      <c r="A24" s="79"/>
      <c r="B24" s="77"/>
      <c r="C24" s="7" t="s">
        <v>6</v>
      </c>
      <c r="D24" s="6">
        <f t="shared" si="0"/>
        <v>32</v>
      </c>
      <c r="E24" s="16">
        <v>39</v>
      </c>
      <c r="F24" s="6">
        <f t="shared" si="1"/>
        <v>7</v>
      </c>
      <c r="G24" s="6">
        <f t="shared" si="2"/>
        <v>7</v>
      </c>
      <c r="H24" s="19">
        <f t="shared" si="3"/>
        <v>49</v>
      </c>
      <c r="I24" s="23">
        <f t="shared" si="4"/>
        <v>7.4450520481726654</v>
      </c>
      <c r="J24" s="23">
        <f t="shared" si="5"/>
        <v>-7.4450520481726654</v>
      </c>
      <c r="K24" s="23">
        <f t="shared" si="6"/>
        <v>40.960000000000008</v>
      </c>
      <c r="L24" s="23">
        <f t="shared" si="7"/>
        <v>7.9515864954443671</v>
      </c>
      <c r="M24" s="23">
        <f t="shared" si="8"/>
        <v>-6.7515864954443678</v>
      </c>
    </row>
    <row r="25" spans="1:13" x14ac:dyDescent="0.25">
      <c r="A25" s="79"/>
      <c r="B25" s="77"/>
      <c r="C25" s="7" t="s">
        <v>7</v>
      </c>
      <c r="D25" s="6">
        <f t="shared" si="0"/>
        <v>39</v>
      </c>
      <c r="E25" s="16">
        <v>38</v>
      </c>
      <c r="F25" s="6">
        <f t="shared" si="1"/>
        <v>-1</v>
      </c>
      <c r="G25" s="6">
        <f t="shared" si="2"/>
        <v>1</v>
      </c>
      <c r="H25" s="19">
        <f t="shared" si="3"/>
        <v>1</v>
      </c>
      <c r="I25" s="23">
        <f t="shared" si="4"/>
        <v>7.4450520481726654</v>
      </c>
      <c r="J25" s="23">
        <f t="shared" si="5"/>
        <v>-7.4450520481726654</v>
      </c>
      <c r="K25" s="23">
        <f t="shared" si="6"/>
        <v>2.5600000000000005</v>
      </c>
      <c r="L25" s="23">
        <f t="shared" si="7"/>
        <v>7.9515864954443671</v>
      </c>
      <c r="M25" s="23">
        <f t="shared" si="8"/>
        <v>-6.7515864954443678</v>
      </c>
    </row>
    <row r="26" spans="1:13" x14ac:dyDescent="0.25">
      <c r="A26" s="79"/>
      <c r="B26" s="77"/>
      <c r="C26" s="7" t="s">
        <v>8</v>
      </c>
      <c r="D26" s="6">
        <f t="shared" si="0"/>
        <v>38</v>
      </c>
      <c r="E26" s="16">
        <v>37</v>
      </c>
      <c r="F26" s="6">
        <f t="shared" si="1"/>
        <v>-1</v>
      </c>
      <c r="G26" s="6">
        <f t="shared" si="2"/>
        <v>1</v>
      </c>
      <c r="H26" s="19">
        <f t="shared" si="3"/>
        <v>1</v>
      </c>
      <c r="I26" s="23">
        <f t="shared" si="4"/>
        <v>7.4450520481726654</v>
      </c>
      <c r="J26" s="23">
        <f t="shared" si="5"/>
        <v>-7.4450520481726654</v>
      </c>
      <c r="K26" s="23">
        <f t="shared" si="6"/>
        <v>2.5600000000000005</v>
      </c>
      <c r="L26" s="23">
        <f t="shared" si="7"/>
        <v>7.9515864954443671</v>
      </c>
      <c r="M26" s="23">
        <f t="shared" si="8"/>
        <v>-6.7515864954443678</v>
      </c>
    </row>
    <row r="27" spans="1:13" x14ac:dyDescent="0.25">
      <c r="A27" s="79"/>
      <c r="B27" s="77"/>
      <c r="C27" s="7" t="s">
        <v>9</v>
      </c>
      <c r="D27" s="6">
        <f t="shared" si="0"/>
        <v>37</v>
      </c>
      <c r="E27" s="16">
        <v>40</v>
      </c>
      <c r="F27" s="6">
        <f t="shared" si="1"/>
        <v>3</v>
      </c>
      <c r="G27" s="6">
        <f t="shared" si="2"/>
        <v>3</v>
      </c>
      <c r="H27" s="19">
        <f t="shared" si="3"/>
        <v>9</v>
      </c>
      <c r="I27" s="23">
        <f t="shared" si="4"/>
        <v>7.4450520481726654</v>
      </c>
      <c r="J27" s="23">
        <f t="shared" si="5"/>
        <v>-7.4450520481726654</v>
      </c>
      <c r="K27" s="23">
        <f t="shared" si="6"/>
        <v>5.76</v>
      </c>
      <c r="L27" s="23">
        <f t="shared" si="7"/>
        <v>7.9515864954443671</v>
      </c>
      <c r="M27" s="23">
        <f t="shared" si="8"/>
        <v>-6.7515864954443678</v>
      </c>
    </row>
    <row r="28" spans="1:13" x14ac:dyDescent="0.25">
      <c r="A28" s="79"/>
      <c r="B28" s="77"/>
      <c r="C28" s="7" t="s">
        <v>10</v>
      </c>
      <c r="D28" s="6">
        <f t="shared" si="0"/>
        <v>40</v>
      </c>
      <c r="E28" s="16">
        <v>40</v>
      </c>
      <c r="F28" s="6">
        <f t="shared" si="1"/>
        <v>0</v>
      </c>
      <c r="G28" s="6">
        <f t="shared" si="2"/>
        <v>0</v>
      </c>
      <c r="H28" s="19">
        <f t="shared" si="3"/>
        <v>0</v>
      </c>
      <c r="I28" s="23">
        <f t="shared" si="4"/>
        <v>7.4450520481726654</v>
      </c>
      <c r="J28" s="23">
        <f t="shared" si="5"/>
        <v>-7.4450520481726654</v>
      </c>
      <c r="K28" s="23">
        <f t="shared" si="6"/>
        <v>0.36</v>
      </c>
      <c r="L28" s="23">
        <f t="shared" si="7"/>
        <v>7.9515864954443671</v>
      </c>
      <c r="M28" s="23">
        <f t="shared" si="8"/>
        <v>-6.7515864954443678</v>
      </c>
    </row>
    <row r="29" spans="1:13" ht="15.75" thickBot="1" x14ac:dyDescent="0.3">
      <c r="A29" s="79"/>
      <c r="B29" s="78"/>
      <c r="C29" s="5" t="s">
        <v>11</v>
      </c>
      <c r="D29" s="4">
        <f t="shared" si="0"/>
        <v>40</v>
      </c>
      <c r="E29" s="17">
        <v>33</v>
      </c>
      <c r="F29" s="4">
        <f t="shared" si="1"/>
        <v>-7</v>
      </c>
      <c r="G29" s="4">
        <f t="shared" si="2"/>
        <v>7</v>
      </c>
      <c r="H29" s="21">
        <f t="shared" si="3"/>
        <v>49</v>
      </c>
      <c r="I29" s="24">
        <f t="shared" si="4"/>
        <v>7.4450520481726654</v>
      </c>
      <c r="J29" s="24">
        <f t="shared" si="5"/>
        <v>-7.4450520481726654</v>
      </c>
      <c r="K29" s="23">
        <f t="shared" si="6"/>
        <v>57.76</v>
      </c>
      <c r="L29" s="23">
        <f t="shared" si="7"/>
        <v>7.9515864954443671</v>
      </c>
      <c r="M29" s="23">
        <f t="shared" si="8"/>
        <v>-6.7515864954443678</v>
      </c>
    </row>
    <row r="30" spans="1:13" x14ac:dyDescent="0.25">
      <c r="A30" s="79"/>
      <c r="B30" s="76">
        <v>2025</v>
      </c>
      <c r="C30" s="7" t="s">
        <v>0</v>
      </c>
      <c r="D30" s="6">
        <f t="shared" si="0"/>
        <v>33</v>
      </c>
      <c r="E30" s="16">
        <v>35</v>
      </c>
      <c r="F30" s="6">
        <f t="shared" si="1"/>
        <v>2</v>
      </c>
      <c r="G30" s="6">
        <f t="shared" si="2"/>
        <v>2</v>
      </c>
      <c r="H30" s="19">
        <f t="shared" si="3"/>
        <v>4</v>
      </c>
      <c r="I30" s="23">
        <f t="shared" si="4"/>
        <v>7.4450520481726654</v>
      </c>
      <c r="J30" s="23">
        <f t="shared" si="5"/>
        <v>-7.4450520481726654</v>
      </c>
      <c r="K30" s="23">
        <f t="shared" si="6"/>
        <v>1.9599999999999997</v>
      </c>
      <c r="L30" s="23">
        <f t="shared" si="7"/>
        <v>7.9515864954443671</v>
      </c>
      <c r="M30" s="23">
        <f t="shared" si="8"/>
        <v>-6.7515864954443678</v>
      </c>
    </row>
    <row r="31" spans="1:13" x14ac:dyDescent="0.25">
      <c r="A31" s="79"/>
      <c r="B31" s="77"/>
      <c r="C31" s="7" t="s">
        <v>1</v>
      </c>
      <c r="D31" s="6">
        <f t="shared" si="0"/>
        <v>35</v>
      </c>
      <c r="E31" s="16">
        <v>31</v>
      </c>
      <c r="F31" s="6">
        <f t="shared" si="1"/>
        <v>-4</v>
      </c>
      <c r="G31" s="6">
        <f t="shared" si="2"/>
        <v>4</v>
      </c>
      <c r="H31" s="19">
        <f t="shared" si="3"/>
        <v>16</v>
      </c>
      <c r="I31" s="23">
        <f t="shared" si="4"/>
        <v>7.4450520481726654</v>
      </c>
      <c r="J31" s="23">
        <f t="shared" si="5"/>
        <v>-7.4450520481726654</v>
      </c>
      <c r="K31" s="23">
        <f t="shared" si="6"/>
        <v>21.159999999999997</v>
      </c>
      <c r="L31" s="23">
        <f t="shared" si="7"/>
        <v>7.9515864954443671</v>
      </c>
      <c r="M31" s="23">
        <f t="shared" si="8"/>
        <v>-6.7515864954443678</v>
      </c>
    </row>
    <row r="32" spans="1:13" x14ac:dyDescent="0.25">
      <c r="A32" s="79"/>
      <c r="B32" s="77"/>
      <c r="C32" s="7" t="s">
        <v>2</v>
      </c>
      <c r="D32" s="6">
        <f t="shared" si="0"/>
        <v>31</v>
      </c>
      <c r="E32" s="16">
        <v>33</v>
      </c>
      <c r="F32" s="6">
        <f t="shared" si="1"/>
        <v>2</v>
      </c>
      <c r="G32" s="6">
        <f t="shared" si="2"/>
        <v>2</v>
      </c>
      <c r="H32" s="19">
        <f t="shared" si="3"/>
        <v>4</v>
      </c>
      <c r="I32" s="23">
        <f t="shared" si="4"/>
        <v>7.4450520481726654</v>
      </c>
      <c r="J32" s="23">
        <f t="shared" si="5"/>
        <v>-7.4450520481726654</v>
      </c>
      <c r="K32" s="23">
        <f t="shared" si="6"/>
        <v>1.9599999999999997</v>
      </c>
      <c r="L32" s="23">
        <f t="shared" si="7"/>
        <v>7.9515864954443671</v>
      </c>
      <c r="M32" s="23">
        <f t="shared" si="8"/>
        <v>-6.7515864954443678</v>
      </c>
    </row>
    <row r="33" spans="1:30" x14ac:dyDescent="0.25">
      <c r="A33" s="79"/>
      <c r="B33" s="77"/>
      <c r="C33" s="7" t="s">
        <v>3</v>
      </c>
      <c r="D33" s="6">
        <f t="shared" si="0"/>
        <v>33</v>
      </c>
      <c r="E33" s="16">
        <v>40</v>
      </c>
      <c r="F33" s="6">
        <f t="shared" si="1"/>
        <v>7</v>
      </c>
      <c r="G33" s="6">
        <f t="shared" si="2"/>
        <v>7</v>
      </c>
      <c r="H33" s="19">
        <f t="shared" si="3"/>
        <v>49</v>
      </c>
      <c r="I33" s="23">
        <f t="shared" si="4"/>
        <v>7.4450520481726654</v>
      </c>
      <c r="J33" s="23">
        <f t="shared" si="5"/>
        <v>-7.4450520481726654</v>
      </c>
      <c r="K33" s="23">
        <f t="shared" si="6"/>
        <v>40.960000000000008</v>
      </c>
      <c r="L33" s="23">
        <f t="shared" si="7"/>
        <v>7.9515864954443671</v>
      </c>
      <c r="M33" s="23">
        <f t="shared" si="8"/>
        <v>-6.7515864954443678</v>
      </c>
    </row>
    <row r="34" spans="1:30" x14ac:dyDescent="0.25">
      <c r="A34" s="79"/>
      <c r="B34" s="77"/>
      <c r="C34" s="7" t="s">
        <v>4</v>
      </c>
      <c r="D34" s="6">
        <f t="shared" si="0"/>
        <v>40</v>
      </c>
      <c r="E34" s="16">
        <v>38</v>
      </c>
      <c r="F34" s="6">
        <f t="shared" si="1"/>
        <v>-2</v>
      </c>
      <c r="G34" s="6">
        <f t="shared" si="2"/>
        <v>2</v>
      </c>
      <c r="H34" s="19">
        <f t="shared" si="3"/>
        <v>4</v>
      </c>
      <c r="I34" s="23">
        <f t="shared" si="4"/>
        <v>7.4450520481726654</v>
      </c>
      <c r="J34" s="23">
        <f t="shared" si="5"/>
        <v>-7.4450520481726654</v>
      </c>
      <c r="K34" s="23">
        <f t="shared" si="6"/>
        <v>6.7600000000000007</v>
      </c>
      <c r="L34" s="23">
        <f t="shared" si="7"/>
        <v>7.9515864954443671</v>
      </c>
      <c r="M34" s="23">
        <f t="shared" si="8"/>
        <v>-6.7515864954443678</v>
      </c>
    </row>
    <row r="35" spans="1:30" x14ac:dyDescent="0.25">
      <c r="A35" s="79"/>
      <c r="B35" s="77"/>
      <c r="C35" s="7" t="s">
        <v>5</v>
      </c>
      <c r="D35" s="6">
        <f t="shared" si="0"/>
        <v>38</v>
      </c>
      <c r="E35" s="16">
        <v>36</v>
      </c>
      <c r="F35" s="6">
        <f t="shared" si="1"/>
        <v>-2</v>
      </c>
      <c r="G35" s="6">
        <f t="shared" si="2"/>
        <v>2</v>
      </c>
      <c r="H35" s="19">
        <f t="shared" si="3"/>
        <v>4</v>
      </c>
      <c r="I35" s="23">
        <f t="shared" si="4"/>
        <v>7.4450520481726654</v>
      </c>
      <c r="J35" s="23">
        <f t="shared" si="5"/>
        <v>-7.4450520481726654</v>
      </c>
      <c r="K35" s="23">
        <f t="shared" si="6"/>
        <v>6.7600000000000007</v>
      </c>
      <c r="L35" s="23">
        <f t="shared" si="7"/>
        <v>7.9515864954443671</v>
      </c>
      <c r="M35" s="23">
        <f t="shared" si="8"/>
        <v>-6.7515864954443678</v>
      </c>
    </row>
    <row r="36" spans="1:30" x14ac:dyDescent="0.25">
      <c r="A36" s="79"/>
      <c r="B36" s="77"/>
      <c r="C36" s="7" t="s">
        <v>6</v>
      </c>
      <c r="D36" s="6">
        <f t="shared" si="0"/>
        <v>36</v>
      </c>
      <c r="E36" s="16">
        <v>35</v>
      </c>
      <c r="F36" s="6">
        <f t="shared" si="1"/>
        <v>-1</v>
      </c>
      <c r="G36" s="6">
        <f t="shared" si="2"/>
        <v>1</v>
      </c>
      <c r="H36" s="19">
        <f t="shared" si="3"/>
        <v>1</v>
      </c>
      <c r="I36" s="23">
        <f t="shared" si="4"/>
        <v>7.4450520481726654</v>
      </c>
      <c r="J36" s="23">
        <f t="shared" si="5"/>
        <v>-7.4450520481726654</v>
      </c>
      <c r="K36" s="23">
        <f t="shared" si="6"/>
        <v>2.5600000000000005</v>
      </c>
      <c r="L36" s="23">
        <f t="shared" si="7"/>
        <v>7.9515864954443671</v>
      </c>
      <c r="M36" s="23">
        <f t="shared" si="8"/>
        <v>-6.7515864954443678</v>
      </c>
    </row>
    <row r="37" spans="1:30" x14ac:dyDescent="0.25">
      <c r="A37" s="79"/>
      <c r="B37" s="77"/>
      <c r="C37" s="7" t="s">
        <v>7</v>
      </c>
      <c r="D37" s="6">
        <f t="shared" si="0"/>
        <v>35</v>
      </c>
      <c r="E37" s="16">
        <v>29</v>
      </c>
      <c r="F37" s="6">
        <f t="shared" si="1"/>
        <v>-6</v>
      </c>
      <c r="G37" s="6">
        <f t="shared" si="2"/>
        <v>6</v>
      </c>
      <c r="H37" s="19">
        <f t="shared" si="3"/>
        <v>36</v>
      </c>
      <c r="I37" s="23">
        <f t="shared" si="4"/>
        <v>7.4450520481726654</v>
      </c>
      <c r="J37" s="23">
        <f t="shared" si="5"/>
        <v>-7.4450520481726654</v>
      </c>
      <c r="K37" s="23">
        <f t="shared" si="6"/>
        <v>43.559999999999995</v>
      </c>
      <c r="L37" s="23">
        <f t="shared" si="7"/>
        <v>7.9515864954443671</v>
      </c>
      <c r="M37" s="23">
        <f t="shared" si="8"/>
        <v>-6.7515864954443678</v>
      </c>
    </row>
    <row r="38" spans="1:30" x14ac:dyDescent="0.25">
      <c r="A38" s="79"/>
      <c r="B38" s="77"/>
      <c r="C38" s="7" t="s">
        <v>8</v>
      </c>
      <c r="D38" s="6">
        <f t="shared" si="0"/>
        <v>29</v>
      </c>
      <c r="E38" s="16">
        <v>25</v>
      </c>
      <c r="F38" s="6">
        <f t="shared" si="1"/>
        <v>-4</v>
      </c>
      <c r="G38" s="6">
        <f t="shared" si="2"/>
        <v>4</v>
      </c>
      <c r="H38" s="19">
        <f t="shared" si="3"/>
        <v>16</v>
      </c>
      <c r="I38" s="23">
        <f t="shared" si="4"/>
        <v>7.4450520481726654</v>
      </c>
      <c r="J38" s="23">
        <f t="shared" si="5"/>
        <v>-7.4450520481726654</v>
      </c>
      <c r="K38" s="23">
        <f t="shared" si="6"/>
        <v>21.159999999999997</v>
      </c>
      <c r="L38" s="23">
        <f t="shared" si="7"/>
        <v>7.9515864954443671</v>
      </c>
      <c r="M38" s="23">
        <f t="shared" si="8"/>
        <v>-6.7515864954443678</v>
      </c>
    </row>
    <row r="39" spans="1:30" ht="15.75" x14ac:dyDescent="0.25">
      <c r="A39" s="79"/>
      <c r="B39" s="77"/>
      <c r="C39" s="7" t="s">
        <v>9</v>
      </c>
      <c r="D39" s="6">
        <f t="shared" ref="D39:D65" si="9">E38</f>
        <v>25</v>
      </c>
      <c r="E39" s="16">
        <v>30</v>
      </c>
      <c r="F39" s="6">
        <f t="shared" ref="F39:F65" si="10">E39-D39</f>
        <v>5</v>
      </c>
      <c r="G39" s="6">
        <f t="shared" si="2"/>
        <v>5</v>
      </c>
      <c r="H39" s="19">
        <f t="shared" si="3"/>
        <v>25</v>
      </c>
      <c r="I39" s="23">
        <f t="shared" si="4"/>
        <v>7.4450520481726654</v>
      </c>
      <c r="J39" s="23">
        <f t="shared" si="5"/>
        <v>-7.4450520481726654</v>
      </c>
      <c r="K39" s="23">
        <f t="shared" si="6"/>
        <v>19.360000000000003</v>
      </c>
      <c r="L39" s="23">
        <f t="shared" si="7"/>
        <v>7.9515864954443671</v>
      </c>
      <c r="M39" s="23">
        <f t="shared" si="8"/>
        <v>-6.7515864954443678</v>
      </c>
      <c r="P39" s="63" t="s">
        <v>98</v>
      </c>
      <c r="Q39" s="50"/>
    </row>
    <row r="40" spans="1:30" ht="16.5" x14ac:dyDescent="0.3">
      <c r="A40" s="79"/>
      <c r="B40" s="77"/>
      <c r="C40" s="7" t="s">
        <v>10</v>
      </c>
      <c r="D40" s="6">
        <f t="shared" si="9"/>
        <v>30</v>
      </c>
      <c r="E40" s="16">
        <v>33</v>
      </c>
      <c r="F40" s="6">
        <f t="shared" si="10"/>
        <v>3</v>
      </c>
      <c r="G40" s="6">
        <f t="shared" si="2"/>
        <v>3</v>
      </c>
      <c r="H40" s="19">
        <f t="shared" si="3"/>
        <v>9</v>
      </c>
      <c r="I40" s="23">
        <f t="shared" si="4"/>
        <v>7.4450520481726654</v>
      </c>
      <c r="J40" s="23">
        <f t="shared" si="5"/>
        <v>-7.4450520481726654</v>
      </c>
      <c r="K40" s="23">
        <f t="shared" si="6"/>
        <v>5.76</v>
      </c>
      <c r="L40" s="23">
        <f t="shared" si="7"/>
        <v>7.9515864954443671</v>
      </c>
      <c r="M40" s="23">
        <f t="shared" si="8"/>
        <v>-6.7515864954443678</v>
      </c>
      <c r="P40" s="48" t="s">
        <v>56</v>
      </c>
      <c r="Q40" s="49" t="s">
        <v>60</v>
      </c>
      <c r="R40" s="2">
        <v>1.96</v>
      </c>
    </row>
    <row r="41" spans="1:30" ht="17.25" thickBot="1" x14ac:dyDescent="0.35">
      <c r="A41" s="79"/>
      <c r="B41" s="78"/>
      <c r="C41" s="5" t="s">
        <v>11</v>
      </c>
      <c r="D41" s="4">
        <f t="shared" si="9"/>
        <v>33</v>
      </c>
      <c r="E41" s="17">
        <v>40</v>
      </c>
      <c r="F41" s="4">
        <f t="shared" si="10"/>
        <v>7</v>
      </c>
      <c r="G41" s="4">
        <f t="shared" si="2"/>
        <v>7</v>
      </c>
      <c r="H41" s="21">
        <f t="shared" si="3"/>
        <v>49</v>
      </c>
      <c r="I41" s="24">
        <f t="shared" si="4"/>
        <v>7.4450520481726654</v>
      </c>
      <c r="J41" s="24">
        <f t="shared" si="5"/>
        <v>-7.4450520481726654</v>
      </c>
      <c r="K41" s="23">
        <f t="shared" si="6"/>
        <v>40.960000000000008</v>
      </c>
      <c r="L41" s="23">
        <f t="shared" si="7"/>
        <v>7.9515864954443671</v>
      </c>
      <c r="M41" s="23">
        <f t="shared" si="8"/>
        <v>-6.7515864954443678</v>
      </c>
      <c r="P41" s="48" t="s">
        <v>95</v>
      </c>
      <c r="Q41" s="64"/>
      <c r="R41" s="57">
        <f>AVERAGE(F7:F41)</f>
        <v>0.6</v>
      </c>
    </row>
    <row r="42" spans="1:30" ht="16.5" x14ac:dyDescent="0.3">
      <c r="A42" s="79" t="s">
        <v>55</v>
      </c>
      <c r="B42" s="76">
        <v>2026</v>
      </c>
      <c r="C42" s="7" t="s">
        <v>0</v>
      </c>
      <c r="D42" s="6">
        <f t="shared" si="9"/>
        <v>40</v>
      </c>
      <c r="E42" s="16">
        <v>38</v>
      </c>
      <c r="F42" s="6">
        <f t="shared" si="10"/>
        <v>-2</v>
      </c>
      <c r="G42" s="6">
        <f t="shared" ref="G42:G65" si="11">ABS(F42)</f>
        <v>2</v>
      </c>
      <c r="H42" s="19">
        <f t="shared" ref="H42:H65" si="12">G42^2</f>
        <v>4</v>
      </c>
      <c r="I42" s="23">
        <f t="shared" si="4"/>
        <v>7.4450520481726654</v>
      </c>
      <c r="J42" s="23">
        <f t="shared" si="5"/>
        <v>-7.4450520481726654</v>
      </c>
      <c r="K42" s="23">
        <f t="shared" si="6"/>
        <v>6.7600000000000007</v>
      </c>
      <c r="L42" s="23">
        <f t="shared" si="7"/>
        <v>7.9515864954443671</v>
      </c>
      <c r="M42" s="23">
        <f t="shared" si="8"/>
        <v>-6.7515864954443678</v>
      </c>
      <c r="P42" s="48" t="s">
        <v>97</v>
      </c>
      <c r="R42" s="57">
        <f>AVERAGE(K7:K41)</f>
        <v>14.068571428571428</v>
      </c>
    </row>
    <row r="43" spans="1:30" ht="16.5" x14ac:dyDescent="0.3">
      <c r="A43" s="79"/>
      <c r="B43" s="77"/>
      <c r="C43" s="7" t="s">
        <v>1</v>
      </c>
      <c r="D43" s="6">
        <f t="shared" si="9"/>
        <v>38</v>
      </c>
      <c r="E43" s="16">
        <v>42</v>
      </c>
      <c r="F43" s="6">
        <f t="shared" si="10"/>
        <v>4</v>
      </c>
      <c r="G43" s="6">
        <f t="shared" si="11"/>
        <v>4</v>
      </c>
      <c r="H43" s="19">
        <f t="shared" si="12"/>
        <v>16</v>
      </c>
      <c r="I43" s="23">
        <f t="shared" si="4"/>
        <v>7.4450520481726654</v>
      </c>
      <c r="J43" s="23">
        <f t="shared" si="5"/>
        <v>-7.4450520481726654</v>
      </c>
      <c r="K43" s="23">
        <f t="shared" si="6"/>
        <v>11.559999999999999</v>
      </c>
      <c r="L43" s="23">
        <f t="shared" si="7"/>
        <v>7.9515864954443671</v>
      </c>
      <c r="M43" s="23">
        <f t="shared" si="8"/>
        <v>-6.7515864954443678</v>
      </c>
      <c r="P43" s="48" t="s">
        <v>94</v>
      </c>
      <c r="Q43" s="50"/>
      <c r="R43" s="22">
        <f>SQRT(R42)</f>
        <v>3.7508094364512079</v>
      </c>
    </row>
    <row r="44" spans="1:30" ht="18.75" x14ac:dyDescent="0.3">
      <c r="A44" s="79"/>
      <c r="B44" s="77"/>
      <c r="C44" s="7" t="s">
        <v>2</v>
      </c>
      <c r="D44" s="6">
        <f t="shared" si="9"/>
        <v>42</v>
      </c>
      <c r="E44" s="16">
        <v>35</v>
      </c>
      <c r="F44" s="6">
        <f t="shared" si="10"/>
        <v>-7</v>
      </c>
      <c r="G44" s="6">
        <f t="shared" si="11"/>
        <v>7</v>
      </c>
      <c r="H44" s="19">
        <f t="shared" si="12"/>
        <v>49</v>
      </c>
      <c r="I44" s="23">
        <f t="shared" si="4"/>
        <v>7.4450520481726654</v>
      </c>
      <c r="J44" s="23">
        <f t="shared" si="5"/>
        <v>-7.4450520481726654</v>
      </c>
      <c r="K44" s="23">
        <f t="shared" si="6"/>
        <v>57.76</v>
      </c>
      <c r="L44" s="23">
        <f t="shared" si="7"/>
        <v>7.9515864954443671</v>
      </c>
      <c r="M44" s="23">
        <f t="shared" si="8"/>
        <v>-6.7515864954443678</v>
      </c>
      <c r="P44" s="48" t="s">
        <v>64</v>
      </c>
      <c r="Q44" s="50" t="s">
        <v>46</v>
      </c>
      <c r="R44" s="22">
        <f>R41+R40*R43</f>
        <v>7.9515864954443671</v>
      </c>
      <c r="AD44" s="59" t="s">
        <v>71</v>
      </c>
    </row>
    <row r="45" spans="1:30" ht="18.75" x14ac:dyDescent="0.3">
      <c r="A45" s="79"/>
      <c r="B45" s="77"/>
      <c r="C45" s="7" t="s">
        <v>3</v>
      </c>
      <c r="D45" s="6">
        <f t="shared" si="9"/>
        <v>35</v>
      </c>
      <c r="E45" s="16">
        <v>39</v>
      </c>
      <c r="F45" s="6">
        <f t="shared" si="10"/>
        <v>4</v>
      </c>
      <c r="G45" s="6">
        <f t="shared" si="11"/>
        <v>4</v>
      </c>
      <c r="H45" s="19">
        <f t="shared" si="12"/>
        <v>16</v>
      </c>
      <c r="I45" s="23">
        <f t="shared" si="4"/>
        <v>7.4450520481726654</v>
      </c>
      <c r="J45" s="23">
        <f t="shared" si="5"/>
        <v>-7.4450520481726654</v>
      </c>
      <c r="K45" s="23">
        <f t="shared" si="6"/>
        <v>11.559999999999999</v>
      </c>
      <c r="L45" s="23">
        <f t="shared" si="7"/>
        <v>7.9515864954443671</v>
      </c>
      <c r="M45" s="23">
        <f t="shared" si="8"/>
        <v>-6.7515864954443678</v>
      </c>
      <c r="P45" s="48" t="s">
        <v>65</v>
      </c>
      <c r="Q45" s="50" t="s">
        <v>47</v>
      </c>
      <c r="R45" s="22">
        <f>R41-R40*R43</f>
        <v>-6.7515864954443678</v>
      </c>
      <c r="AD45" s="59" t="s">
        <v>90</v>
      </c>
    </row>
    <row r="46" spans="1:30" ht="18.75" x14ac:dyDescent="0.3">
      <c r="A46" s="79"/>
      <c r="B46" s="77"/>
      <c r="C46" s="7" t="s">
        <v>4</v>
      </c>
      <c r="D46" s="6">
        <f t="shared" si="9"/>
        <v>39</v>
      </c>
      <c r="E46" s="16">
        <v>26</v>
      </c>
      <c r="F46" s="6">
        <f t="shared" si="10"/>
        <v>-13</v>
      </c>
      <c r="G46" s="6">
        <f t="shared" si="11"/>
        <v>13</v>
      </c>
      <c r="H46" s="19">
        <f t="shared" si="12"/>
        <v>169</v>
      </c>
      <c r="I46" s="23">
        <f t="shared" si="4"/>
        <v>7.4450520481726654</v>
      </c>
      <c r="J46" s="23">
        <f t="shared" si="5"/>
        <v>-7.4450520481726654</v>
      </c>
      <c r="K46" s="23">
        <f t="shared" si="6"/>
        <v>184.95999999999998</v>
      </c>
      <c r="L46" s="23">
        <f t="shared" si="7"/>
        <v>7.9515864954443671</v>
      </c>
      <c r="M46" s="23">
        <f t="shared" si="8"/>
        <v>-6.7515864954443678</v>
      </c>
      <c r="AD46" s="59" t="s">
        <v>91</v>
      </c>
    </row>
    <row r="47" spans="1:30" ht="18.75" x14ac:dyDescent="0.3">
      <c r="A47" s="79"/>
      <c r="B47" s="77"/>
      <c r="C47" s="7" t="s">
        <v>5</v>
      </c>
      <c r="D47" s="6">
        <f t="shared" si="9"/>
        <v>26</v>
      </c>
      <c r="E47" s="16">
        <v>29</v>
      </c>
      <c r="F47" s="6">
        <f t="shared" si="10"/>
        <v>3</v>
      </c>
      <c r="G47" s="6">
        <f t="shared" si="11"/>
        <v>3</v>
      </c>
      <c r="H47" s="19">
        <f t="shared" si="12"/>
        <v>9</v>
      </c>
      <c r="I47" s="23">
        <f t="shared" si="4"/>
        <v>7.4450520481726654</v>
      </c>
      <c r="J47" s="23">
        <f t="shared" si="5"/>
        <v>-7.4450520481726654</v>
      </c>
      <c r="K47" s="23">
        <f t="shared" si="6"/>
        <v>5.76</v>
      </c>
      <c r="L47" s="23">
        <f t="shared" si="7"/>
        <v>7.9515864954443671</v>
      </c>
      <c r="M47" s="23">
        <f t="shared" si="8"/>
        <v>-6.7515864954443678</v>
      </c>
      <c r="AD47" s="59" t="s">
        <v>92</v>
      </c>
    </row>
    <row r="48" spans="1:30" ht="18.75" x14ac:dyDescent="0.3">
      <c r="A48" s="79"/>
      <c r="B48" s="77"/>
      <c r="C48" s="7" t="s">
        <v>6</v>
      </c>
      <c r="D48" s="6">
        <f t="shared" si="9"/>
        <v>29</v>
      </c>
      <c r="E48" s="16">
        <v>34</v>
      </c>
      <c r="F48" s="6">
        <f t="shared" si="10"/>
        <v>5</v>
      </c>
      <c r="G48" s="6">
        <f t="shared" si="11"/>
        <v>5</v>
      </c>
      <c r="H48" s="19">
        <f t="shared" si="12"/>
        <v>25</v>
      </c>
      <c r="I48" s="23">
        <f t="shared" si="4"/>
        <v>7.4450520481726654</v>
      </c>
      <c r="J48" s="23">
        <f t="shared" si="5"/>
        <v>-7.4450520481726654</v>
      </c>
      <c r="K48" s="23">
        <f t="shared" si="6"/>
        <v>19.360000000000003</v>
      </c>
      <c r="L48" s="23">
        <f t="shared" si="7"/>
        <v>7.9515864954443671</v>
      </c>
      <c r="M48" s="23">
        <f t="shared" si="8"/>
        <v>-6.7515864954443678</v>
      </c>
      <c r="AD48" s="59" t="s">
        <v>72</v>
      </c>
    </row>
    <row r="49" spans="1:30" ht="18.75" x14ac:dyDescent="0.3">
      <c r="A49" s="79"/>
      <c r="B49" s="77"/>
      <c r="C49" s="7" t="s">
        <v>7</v>
      </c>
      <c r="D49" s="6">
        <f t="shared" si="9"/>
        <v>34</v>
      </c>
      <c r="E49" s="16">
        <v>32</v>
      </c>
      <c r="F49" s="6">
        <f t="shared" si="10"/>
        <v>-2</v>
      </c>
      <c r="G49" s="6">
        <f t="shared" si="11"/>
        <v>2</v>
      </c>
      <c r="H49" s="19">
        <f t="shared" si="12"/>
        <v>4</v>
      </c>
      <c r="I49" s="23">
        <f t="shared" si="4"/>
        <v>7.4450520481726654</v>
      </c>
      <c r="J49" s="23">
        <f t="shared" si="5"/>
        <v>-7.4450520481726654</v>
      </c>
      <c r="K49" s="23">
        <f t="shared" si="6"/>
        <v>6.7600000000000007</v>
      </c>
      <c r="L49" s="23">
        <f t="shared" si="7"/>
        <v>7.9515864954443671</v>
      </c>
      <c r="M49" s="23">
        <f t="shared" si="8"/>
        <v>-6.7515864954443678</v>
      </c>
      <c r="AD49" s="59" t="s">
        <v>93</v>
      </c>
    </row>
    <row r="50" spans="1:30" x14ac:dyDescent="0.25">
      <c r="A50" s="79"/>
      <c r="B50" s="77"/>
      <c r="C50" s="7" t="s">
        <v>8</v>
      </c>
      <c r="D50" s="6">
        <f t="shared" si="9"/>
        <v>32</v>
      </c>
      <c r="E50" s="16">
        <v>39</v>
      </c>
      <c r="F50" s="6">
        <f t="shared" si="10"/>
        <v>7</v>
      </c>
      <c r="G50" s="6">
        <f t="shared" si="11"/>
        <v>7</v>
      </c>
      <c r="H50" s="19">
        <f t="shared" si="12"/>
        <v>49</v>
      </c>
      <c r="I50" s="23">
        <f t="shared" si="4"/>
        <v>7.4450520481726654</v>
      </c>
      <c r="J50" s="23">
        <f t="shared" si="5"/>
        <v>-7.4450520481726654</v>
      </c>
      <c r="K50" s="23">
        <f t="shared" si="6"/>
        <v>40.960000000000008</v>
      </c>
      <c r="L50" s="23">
        <f t="shared" si="7"/>
        <v>7.9515864954443671</v>
      </c>
      <c r="M50" s="23">
        <f t="shared" si="8"/>
        <v>-6.7515864954443678</v>
      </c>
    </row>
    <row r="51" spans="1:30" x14ac:dyDescent="0.25">
      <c r="A51" s="79"/>
      <c r="B51" s="77"/>
      <c r="C51" s="7" t="s">
        <v>9</v>
      </c>
      <c r="D51" s="6">
        <f t="shared" si="9"/>
        <v>39</v>
      </c>
      <c r="E51" s="16">
        <v>41</v>
      </c>
      <c r="F51" s="6">
        <f t="shared" si="10"/>
        <v>2</v>
      </c>
      <c r="G51" s="6">
        <f t="shared" si="11"/>
        <v>2</v>
      </c>
      <c r="H51" s="19">
        <f t="shared" si="12"/>
        <v>4</v>
      </c>
      <c r="I51" s="23">
        <f t="shared" si="4"/>
        <v>7.4450520481726654</v>
      </c>
      <c r="J51" s="23">
        <f t="shared" si="5"/>
        <v>-7.4450520481726654</v>
      </c>
      <c r="K51" s="23">
        <f t="shared" si="6"/>
        <v>1.9599999999999997</v>
      </c>
      <c r="L51" s="23">
        <f t="shared" si="7"/>
        <v>7.9515864954443671</v>
      </c>
      <c r="M51" s="23">
        <f t="shared" si="8"/>
        <v>-6.7515864954443678</v>
      </c>
    </row>
    <row r="52" spans="1:30" x14ac:dyDescent="0.25">
      <c r="A52" s="79"/>
      <c r="B52" s="77"/>
      <c r="C52" s="7" t="s">
        <v>10</v>
      </c>
      <c r="D52" s="6">
        <f t="shared" si="9"/>
        <v>41</v>
      </c>
      <c r="E52" s="16">
        <v>43</v>
      </c>
      <c r="F52" s="6">
        <f t="shared" si="10"/>
        <v>2</v>
      </c>
      <c r="G52" s="6">
        <f t="shared" si="11"/>
        <v>2</v>
      </c>
      <c r="H52" s="19">
        <f t="shared" si="12"/>
        <v>4</v>
      </c>
      <c r="I52" s="23">
        <f t="shared" si="4"/>
        <v>7.4450520481726654</v>
      </c>
      <c r="J52" s="23">
        <f t="shared" si="5"/>
        <v>-7.4450520481726654</v>
      </c>
      <c r="K52" s="23">
        <f t="shared" si="6"/>
        <v>1.9599999999999997</v>
      </c>
      <c r="L52" s="23">
        <f t="shared" si="7"/>
        <v>7.9515864954443671</v>
      </c>
      <c r="M52" s="23">
        <f t="shared" si="8"/>
        <v>-6.7515864954443678</v>
      </c>
    </row>
    <row r="53" spans="1:30" ht="15.75" thickBot="1" x14ac:dyDescent="0.3">
      <c r="A53" s="79"/>
      <c r="B53" s="78"/>
      <c r="C53" s="5" t="s">
        <v>11</v>
      </c>
      <c r="D53" s="4">
        <f t="shared" si="9"/>
        <v>43</v>
      </c>
      <c r="E53" s="17">
        <v>37</v>
      </c>
      <c r="F53" s="4">
        <f t="shared" si="10"/>
        <v>-6</v>
      </c>
      <c r="G53" s="4">
        <f t="shared" si="11"/>
        <v>6</v>
      </c>
      <c r="H53" s="21">
        <f t="shared" si="12"/>
        <v>36</v>
      </c>
      <c r="I53" s="24">
        <f t="shared" si="4"/>
        <v>7.4450520481726654</v>
      </c>
      <c r="J53" s="24">
        <f t="shared" si="5"/>
        <v>-7.4450520481726654</v>
      </c>
      <c r="K53" s="23">
        <f t="shared" si="6"/>
        <v>43.559999999999995</v>
      </c>
      <c r="L53" s="23">
        <f t="shared" si="7"/>
        <v>7.9515864954443671</v>
      </c>
      <c r="M53" s="23">
        <f t="shared" si="8"/>
        <v>-6.7515864954443678</v>
      </c>
    </row>
    <row r="54" spans="1:30" x14ac:dyDescent="0.25">
      <c r="A54" s="79"/>
      <c r="B54" s="76">
        <v>2027</v>
      </c>
      <c r="C54" s="7" t="s">
        <v>0</v>
      </c>
      <c r="D54" s="6">
        <f t="shared" si="9"/>
        <v>37</v>
      </c>
      <c r="E54" s="16">
        <v>36</v>
      </c>
      <c r="F54" s="6">
        <f t="shared" si="10"/>
        <v>-1</v>
      </c>
      <c r="G54" s="6">
        <f t="shared" si="11"/>
        <v>1</v>
      </c>
      <c r="H54" s="19">
        <f t="shared" si="12"/>
        <v>1</v>
      </c>
      <c r="I54" s="23">
        <f t="shared" si="4"/>
        <v>7.4450520481726654</v>
      </c>
      <c r="J54" s="23">
        <f t="shared" si="5"/>
        <v>-7.4450520481726654</v>
      </c>
      <c r="K54" s="23">
        <f t="shared" si="6"/>
        <v>2.5600000000000005</v>
      </c>
      <c r="L54" s="23">
        <f t="shared" si="7"/>
        <v>7.9515864954443671</v>
      </c>
      <c r="M54" s="23">
        <f t="shared" si="8"/>
        <v>-6.7515864954443678</v>
      </c>
    </row>
    <row r="55" spans="1:30" x14ac:dyDescent="0.25">
      <c r="A55" s="79"/>
      <c r="B55" s="77"/>
      <c r="C55" s="7" t="s">
        <v>1</v>
      </c>
      <c r="D55" s="6">
        <f t="shared" si="9"/>
        <v>36</v>
      </c>
      <c r="E55" s="16">
        <v>39</v>
      </c>
      <c r="F55" s="6">
        <f t="shared" si="10"/>
        <v>3</v>
      </c>
      <c r="G55" s="6">
        <f t="shared" si="11"/>
        <v>3</v>
      </c>
      <c r="H55" s="19">
        <f t="shared" si="12"/>
        <v>9</v>
      </c>
      <c r="I55" s="23">
        <f t="shared" si="4"/>
        <v>7.4450520481726654</v>
      </c>
      <c r="J55" s="23">
        <f t="shared" si="5"/>
        <v>-7.4450520481726654</v>
      </c>
      <c r="K55" s="23">
        <f t="shared" si="6"/>
        <v>5.76</v>
      </c>
      <c r="L55" s="23">
        <f t="shared" si="7"/>
        <v>7.9515864954443671</v>
      </c>
      <c r="M55" s="23">
        <f t="shared" si="8"/>
        <v>-6.7515864954443678</v>
      </c>
    </row>
    <row r="56" spans="1:30" x14ac:dyDescent="0.25">
      <c r="A56" s="79"/>
      <c r="B56" s="77"/>
      <c r="C56" s="7" t="s">
        <v>2</v>
      </c>
      <c r="D56" s="6">
        <f t="shared" si="9"/>
        <v>39</v>
      </c>
      <c r="E56" s="16">
        <v>44</v>
      </c>
      <c r="F56" s="6">
        <f t="shared" si="10"/>
        <v>5</v>
      </c>
      <c r="G56" s="6">
        <f t="shared" si="11"/>
        <v>5</v>
      </c>
      <c r="H56" s="19">
        <f t="shared" si="12"/>
        <v>25</v>
      </c>
      <c r="I56" s="23">
        <f t="shared" si="4"/>
        <v>7.4450520481726654</v>
      </c>
      <c r="J56" s="23">
        <f t="shared" si="5"/>
        <v>-7.4450520481726654</v>
      </c>
      <c r="K56" s="23">
        <f t="shared" si="6"/>
        <v>19.360000000000003</v>
      </c>
      <c r="L56" s="23">
        <f t="shared" si="7"/>
        <v>7.9515864954443671</v>
      </c>
      <c r="M56" s="23">
        <f t="shared" si="8"/>
        <v>-6.7515864954443678</v>
      </c>
    </row>
    <row r="57" spans="1:30" x14ac:dyDescent="0.25">
      <c r="A57" s="79"/>
      <c r="B57" s="77"/>
      <c r="C57" s="7" t="s">
        <v>3</v>
      </c>
      <c r="D57" s="6">
        <f t="shared" si="9"/>
        <v>44</v>
      </c>
      <c r="E57" s="16">
        <v>43</v>
      </c>
      <c r="F57" s="6">
        <f t="shared" si="10"/>
        <v>-1</v>
      </c>
      <c r="G57" s="6">
        <f t="shared" si="11"/>
        <v>1</v>
      </c>
      <c r="H57" s="19">
        <f t="shared" si="12"/>
        <v>1</v>
      </c>
      <c r="I57" s="23">
        <f t="shared" si="4"/>
        <v>7.4450520481726654</v>
      </c>
      <c r="J57" s="23">
        <f t="shared" si="5"/>
        <v>-7.4450520481726654</v>
      </c>
      <c r="K57" s="23">
        <f t="shared" si="6"/>
        <v>2.5600000000000005</v>
      </c>
      <c r="L57" s="23">
        <f t="shared" si="7"/>
        <v>7.9515864954443671</v>
      </c>
      <c r="M57" s="23">
        <f t="shared" si="8"/>
        <v>-6.7515864954443678</v>
      </c>
    </row>
    <row r="58" spans="1:30" x14ac:dyDescent="0.25">
      <c r="A58" s="79"/>
      <c r="B58" s="77"/>
      <c r="C58" s="7" t="s">
        <v>4</v>
      </c>
      <c r="D58" s="6">
        <f t="shared" si="9"/>
        <v>43</v>
      </c>
      <c r="E58" s="16">
        <v>36</v>
      </c>
      <c r="F58" s="6">
        <f t="shared" si="10"/>
        <v>-7</v>
      </c>
      <c r="G58" s="6">
        <f t="shared" si="11"/>
        <v>7</v>
      </c>
      <c r="H58" s="19">
        <f t="shared" si="12"/>
        <v>49</v>
      </c>
      <c r="I58" s="23">
        <f t="shared" si="4"/>
        <v>7.4450520481726654</v>
      </c>
      <c r="J58" s="23">
        <f t="shared" si="5"/>
        <v>-7.4450520481726654</v>
      </c>
      <c r="K58" s="23">
        <f t="shared" si="6"/>
        <v>57.76</v>
      </c>
      <c r="L58" s="23">
        <f t="shared" si="7"/>
        <v>7.9515864954443671</v>
      </c>
      <c r="M58" s="23">
        <f t="shared" si="8"/>
        <v>-6.7515864954443678</v>
      </c>
    </row>
    <row r="59" spans="1:30" x14ac:dyDescent="0.25">
      <c r="A59" s="79"/>
      <c r="B59" s="77"/>
      <c r="C59" s="7" t="s">
        <v>5</v>
      </c>
      <c r="D59" s="6">
        <f t="shared" si="9"/>
        <v>36</v>
      </c>
      <c r="E59" s="16">
        <v>34</v>
      </c>
      <c r="F59" s="6">
        <f t="shared" si="10"/>
        <v>-2</v>
      </c>
      <c r="G59" s="6">
        <f t="shared" si="11"/>
        <v>2</v>
      </c>
      <c r="H59" s="19">
        <f t="shared" si="12"/>
        <v>4</v>
      </c>
      <c r="I59" s="23">
        <f t="shared" si="4"/>
        <v>7.4450520481726654</v>
      </c>
      <c r="J59" s="23">
        <f t="shared" si="5"/>
        <v>-7.4450520481726654</v>
      </c>
      <c r="K59" s="23">
        <f t="shared" si="6"/>
        <v>6.7600000000000007</v>
      </c>
      <c r="L59" s="23">
        <f t="shared" si="7"/>
        <v>7.9515864954443671</v>
      </c>
      <c r="M59" s="23">
        <f t="shared" si="8"/>
        <v>-6.7515864954443678</v>
      </c>
    </row>
    <row r="60" spans="1:30" x14ac:dyDescent="0.25">
      <c r="A60" s="79"/>
      <c r="B60" s="77"/>
      <c r="C60" s="7" t="s">
        <v>6</v>
      </c>
      <c r="D60" s="6">
        <f t="shared" si="9"/>
        <v>34</v>
      </c>
      <c r="E60" s="16">
        <v>41</v>
      </c>
      <c r="F60" s="6">
        <f t="shared" si="10"/>
        <v>7</v>
      </c>
      <c r="G60" s="6">
        <f t="shared" si="11"/>
        <v>7</v>
      </c>
      <c r="H60" s="19">
        <f t="shared" si="12"/>
        <v>49</v>
      </c>
      <c r="I60" s="23">
        <f t="shared" si="4"/>
        <v>7.4450520481726654</v>
      </c>
      <c r="J60" s="23">
        <f t="shared" si="5"/>
        <v>-7.4450520481726654</v>
      </c>
      <c r="K60" s="23">
        <f t="shared" si="6"/>
        <v>40.960000000000008</v>
      </c>
      <c r="L60" s="23">
        <f t="shared" si="7"/>
        <v>7.9515864954443671</v>
      </c>
      <c r="M60" s="23">
        <f t="shared" si="8"/>
        <v>-6.7515864954443678</v>
      </c>
    </row>
    <row r="61" spans="1:30" x14ac:dyDescent="0.25">
      <c r="A61" s="79"/>
      <c r="B61" s="77"/>
      <c r="C61" s="7" t="s">
        <v>7</v>
      </c>
      <c r="D61" s="6">
        <f t="shared" si="9"/>
        <v>41</v>
      </c>
      <c r="E61" s="16">
        <v>44</v>
      </c>
      <c r="F61" s="6">
        <f t="shared" si="10"/>
        <v>3</v>
      </c>
      <c r="G61" s="6">
        <f t="shared" si="11"/>
        <v>3</v>
      </c>
      <c r="H61" s="19">
        <f t="shared" si="12"/>
        <v>9</v>
      </c>
      <c r="I61" s="23">
        <f t="shared" si="4"/>
        <v>7.4450520481726654</v>
      </c>
      <c r="J61" s="23">
        <f t="shared" si="5"/>
        <v>-7.4450520481726654</v>
      </c>
      <c r="K61" s="23">
        <f t="shared" si="6"/>
        <v>5.76</v>
      </c>
      <c r="L61" s="23">
        <f t="shared" si="7"/>
        <v>7.9515864954443671</v>
      </c>
      <c r="M61" s="23">
        <f t="shared" si="8"/>
        <v>-6.7515864954443678</v>
      </c>
    </row>
    <row r="62" spans="1:30" x14ac:dyDescent="0.25">
      <c r="A62" s="79"/>
      <c r="B62" s="77"/>
      <c r="C62" s="7" t="s">
        <v>8</v>
      </c>
      <c r="D62" s="6">
        <f t="shared" si="9"/>
        <v>44</v>
      </c>
      <c r="E62" s="16">
        <v>47</v>
      </c>
      <c r="F62" s="6">
        <f t="shared" si="10"/>
        <v>3</v>
      </c>
      <c r="G62" s="6">
        <f t="shared" si="11"/>
        <v>3</v>
      </c>
      <c r="H62" s="19">
        <f t="shared" si="12"/>
        <v>9</v>
      </c>
      <c r="I62" s="23">
        <f t="shared" si="4"/>
        <v>7.4450520481726654</v>
      </c>
      <c r="J62" s="23">
        <f t="shared" si="5"/>
        <v>-7.4450520481726654</v>
      </c>
      <c r="K62" s="23">
        <f t="shared" si="6"/>
        <v>5.76</v>
      </c>
      <c r="L62" s="23">
        <f t="shared" si="7"/>
        <v>7.9515864954443671</v>
      </c>
      <c r="M62" s="23">
        <f t="shared" si="8"/>
        <v>-6.7515864954443678</v>
      </c>
    </row>
    <row r="63" spans="1:30" x14ac:dyDescent="0.25">
      <c r="A63" s="79"/>
      <c r="B63" s="77"/>
      <c r="C63" s="7" t="s">
        <v>9</v>
      </c>
      <c r="D63" s="6">
        <f t="shared" si="9"/>
        <v>47</v>
      </c>
      <c r="E63" s="16">
        <v>40</v>
      </c>
      <c r="F63" s="6">
        <f t="shared" si="10"/>
        <v>-7</v>
      </c>
      <c r="G63" s="6">
        <f t="shared" si="11"/>
        <v>7</v>
      </c>
      <c r="H63" s="19">
        <f t="shared" si="12"/>
        <v>49</v>
      </c>
      <c r="I63" s="23">
        <f t="shared" si="4"/>
        <v>7.4450520481726654</v>
      </c>
      <c r="J63" s="23">
        <f t="shared" si="5"/>
        <v>-7.4450520481726654</v>
      </c>
      <c r="K63" s="23">
        <f t="shared" si="6"/>
        <v>57.76</v>
      </c>
      <c r="L63" s="23">
        <f t="shared" si="7"/>
        <v>7.9515864954443671</v>
      </c>
      <c r="M63" s="23">
        <f t="shared" si="8"/>
        <v>-6.7515864954443678</v>
      </c>
    </row>
    <row r="64" spans="1:30" x14ac:dyDescent="0.25">
      <c r="A64" s="79"/>
      <c r="B64" s="77"/>
      <c r="C64" s="7" t="s">
        <v>10</v>
      </c>
      <c r="D64" s="6">
        <f t="shared" si="9"/>
        <v>40</v>
      </c>
      <c r="E64" s="16">
        <v>38</v>
      </c>
      <c r="F64" s="6">
        <f t="shared" si="10"/>
        <v>-2</v>
      </c>
      <c r="G64" s="6">
        <f t="shared" si="11"/>
        <v>2</v>
      </c>
      <c r="H64" s="19">
        <f t="shared" si="12"/>
        <v>4</v>
      </c>
      <c r="I64" s="23">
        <f t="shared" si="4"/>
        <v>7.4450520481726654</v>
      </c>
      <c r="J64" s="23">
        <f t="shared" si="5"/>
        <v>-7.4450520481726654</v>
      </c>
      <c r="K64" s="23">
        <f t="shared" si="6"/>
        <v>6.7600000000000007</v>
      </c>
      <c r="L64" s="23">
        <f t="shared" si="7"/>
        <v>7.9515864954443671</v>
      </c>
      <c r="M64" s="23">
        <f t="shared" si="8"/>
        <v>-6.7515864954443678</v>
      </c>
    </row>
    <row r="65" spans="1:13" ht="15.75" thickBot="1" x14ac:dyDescent="0.3">
      <c r="A65" s="79"/>
      <c r="B65" s="78"/>
      <c r="C65" s="5" t="s">
        <v>11</v>
      </c>
      <c r="D65" s="4">
        <f t="shared" si="9"/>
        <v>38</v>
      </c>
      <c r="E65" s="17">
        <v>38</v>
      </c>
      <c r="F65" s="4">
        <f t="shared" si="10"/>
        <v>0</v>
      </c>
      <c r="G65" s="4">
        <f t="shared" si="11"/>
        <v>0</v>
      </c>
      <c r="H65" s="21">
        <f t="shared" si="12"/>
        <v>0</v>
      </c>
      <c r="I65" s="24">
        <f t="shared" si="4"/>
        <v>7.4450520481726654</v>
      </c>
      <c r="J65" s="24">
        <f t="shared" si="5"/>
        <v>-7.4450520481726654</v>
      </c>
      <c r="K65" s="23">
        <f t="shared" si="6"/>
        <v>0.36</v>
      </c>
      <c r="L65" s="23">
        <f t="shared" si="7"/>
        <v>7.9515864954443671</v>
      </c>
      <c r="M65" s="23">
        <f t="shared" si="8"/>
        <v>-6.7515864954443678</v>
      </c>
    </row>
    <row r="66" spans="1:13" x14ac:dyDescent="0.25">
      <c r="F66" s="62">
        <f>AVERAGE(F7:F41)</f>
        <v>0.6</v>
      </c>
      <c r="K66" s="57">
        <f>AVERAGE(K7:K65)</f>
        <v>18.600677966101692</v>
      </c>
    </row>
    <row r="67" spans="1:13" x14ac:dyDescent="0.25">
      <c r="G67" s="62"/>
    </row>
  </sheetData>
  <mergeCells count="7">
    <mergeCell ref="B30:B41"/>
    <mergeCell ref="B42:B53"/>
    <mergeCell ref="B54:B65"/>
    <mergeCell ref="A6:A41"/>
    <mergeCell ref="A42:A65"/>
    <mergeCell ref="B6:B17"/>
    <mergeCell ref="B18:B29"/>
  </mergeCells>
  <conditionalFormatting sqref="F6:F65">
    <cfRule type="cellIs" dxfId="2" priority="3" operator="lessThan">
      <formula>0</formula>
    </cfRule>
  </conditionalFormatting>
  <conditionalFormatting sqref="I6:I16 I18:I28 I54:I64">
    <cfRule type="cellIs" dxfId="1" priority="2" operator="lessThan">
      <formula>0</formula>
    </cfRule>
  </conditionalFormatting>
  <conditionalFormatting sqref="I30:I52">
    <cfRule type="cellIs" dxfId="0" priority="1" operator="lessThan">
      <formula>0</formula>
    </cfRule>
  </conditionalFormatting>
  <pageMargins left="0.3" right="0.3" top="0.3" bottom="0.3" header="0" footer="0"/>
  <pageSetup scale="8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BFB9390BD88B498D0EF4B57493AB01" ma:contentTypeVersion="9" ma:contentTypeDescription="Create a new document." ma:contentTypeScope="" ma:versionID="f4ddb57cc181ab1d8881fb22ddaa8793">
  <xsd:schema xmlns:xsd="http://www.w3.org/2001/XMLSchema" xmlns:xs="http://www.w3.org/2001/XMLSchema" xmlns:p="http://schemas.microsoft.com/office/2006/metadata/properties" xmlns:ns2="3d450ae0-81a7-4746-bcda-95c74bf2224c" targetNamespace="http://schemas.microsoft.com/office/2006/metadata/properties" ma:root="true" ma:fieldsID="0c1779bfa9731ca10826d80cba48b991" ns2:_="">
    <xsd:import namespace="3d450ae0-81a7-4746-bcda-95c74bf222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450ae0-81a7-4746-bcda-95c74bf222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2B1611-7372-483B-B174-0C6118E58A26}">
  <ds:schemaRefs>
    <ds:schemaRef ds:uri="http://schemas.microsoft.com/sharepoint/v3/contenttype/forms"/>
  </ds:schemaRefs>
</ds:datastoreItem>
</file>

<file path=customXml/itemProps2.xml><?xml version="1.0" encoding="utf-8"?>
<ds:datastoreItem xmlns:ds="http://schemas.openxmlformats.org/officeDocument/2006/customXml" ds:itemID="{95590E6D-52C8-4D9D-BA7A-5874E090CA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450ae0-81a7-4746-bcda-95c74bf222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2DE5F7-DEB1-45A8-AB6C-23AF62315E2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Sheet1</vt:lpstr>
      <vt:lpstr>Task</vt:lpstr>
      <vt:lpstr>Naïve</vt:lpstr>
      <vt:lpstr>Naïve with Trend</vt:lpstr>
      <vt:lpstr>Naïve with Seasonality</vt:lpstr>
      <vt:lpstr>Moving Average</vt:lpstr>
      <vt:lpstr>Exponential Smoothing</vt:lpstr>
      <vt:lpstr>Linear Regression</vt:lpstr>
      <vt:lpstr>Comparision</vt:lpstr>
      <vt:lpstr>2026 &amp; 2027 Forecast</vt:lpstr>
      <vt:lpstr>'2026 &amp; 2027 Forecast'!Print_Area</vt:lpstr>
      <vt:lpstr>Comparision!Print_Area</vt:lpstr>
      <vt:lpstr>'Exponential Smoothing'!Print_Area</vt:lpstr>
      <vt:lpstr>'Linear Regression'!Print_Area</vt:lpstr>
      <vt:lpstr>'Moving Average'!Print_Area</vt:lpstr>
      <vt:lpstr>Naïve!Print_Area</vt:lpstr>
      <vt:lpstr>'Naïve with Seasonality'!Print_Area</vt:lpstr>
      <vt:lpstr>'Naïve with Trend'!Print_Area</vt:lpstr>
    </vt:vector>
  </TitlesOfParts>
  <Manager/>
  <Company>Smartsheet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Daun Choi</cp:lastModifiedBy>
  <cp:revision/>
  <dcterms:created xsi:type="dcterms:W3CDTF">2015-02-24T20:54:23Z</dcterms:created>
  <dcterms:modified xsi:type="dcterms:W3CDTF">2026-05-04T07:17:36Z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0x010100CABFB9390BD88B498D0EF4B57493AB01</vt:lpwstr>
  </property>
</Properties>
</file>